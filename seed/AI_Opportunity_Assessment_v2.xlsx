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02"/>
  <workbookPr/>
  <xr:revisionPtr revIDLastSave="0" documentId="8_{5F8276DC-C62B-4591-86EC-C107FDFC64F8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Assessment Template" sheetId="1" r:id="rId1"/>
    <sheet name="Rubric" sheetId="2" r:id="rId2"/>
    <sheet name="Weights" sheetId="3" r:id="rId3"/>
    <sheet name="Opportunity Catalog" sheetId="4" r:id="rId4"/>
    <sheet name="Assessment Instructions" sheetId="5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200" i="1" l="1"/>
  <c r="O200" i="1"/>
  <c r="Q200" i="1" s="1"/>
  <c r="P199" i="1"/>
  <c r="O199" i="1"/>
  <c r="Q199" i="1" s="1"/>
  <c r="P198" i="1"/>
  <c r="O198" i="1"/>
  <c r="Q198" i="1" s="1"/>
  <c r="P197" i="1"/>
  <c r="O197" i="1"/>
  <c r="Q197" i="1" s="1"/>
  <c r="P196" i="1"/>
  <c r="O196" i="1"/>
  <c r="Q196" i="1" s="1"/>
  <c r="P195" i="1"/>
  <c r="O195" i="1"/>
  <c r="Q195" i="1" s="1"/>
  <c r="P194" i="1"/>
  <c r="O194" i="1"/>
  <c r="Q194" i="1" s="1"/>
  <c r="P193" i="1"/>
  <c r="O193" i="1"/>
  <c r="Q193" i="1" s="1"/>
  <c r="P192" i="1"/>
  <c r="O192" i="1"/>
  <c r="Q192" i="1" s="1"/>
  <c r="P191" i="1"/>
  <c r="O191" i="1"/>
  <c r="Q191" i="1" s="1"/>
  <c r="P190" i="1"/>
  <c r="O190" i="1"/>
  <c r="Q190" i="1" s="1"/>
  <c r="P189" i="1"/>
  <c r="O189" i="1"/>
  <c r="Q189" i="1" s="1"/>
  <c r="P188" i="1"/>
  <c r="O188" i="1"/>
  <c r="Q188" i="1" s="1"/>
  <c r="P187" i="1"/>
  <c r="O187" i="1"/>
  <c r="Q187" i="1" s="1"/>
  <c r="P186" i="1"/>
  <c r="O186" i="1"/>
  <c r="Q186" i="1" s="1"/>
  <c r="P185" i="1"/>
  <c r="O185" i="1"/>
  <c r="Q185" i="1" s="1"/>
  <c r="P184" i="1"/>
  <c r="O184" i="1"/>
  <c r="Q184" i="1" s="1"/>
  <c r="P183" i="1"/>
  <c r="O183" i="1"/>
  <c r="Q183" i="1" s="1"/>
  <c r="P182" i="1"/>
  <c r="O182" i="1"/>
  <c r="Q182" i="1" s="1"/>
  <c r="P181" i="1"/>
  <c r="O181" i="1"/>
  <c r="Q181" i="1" s="1"/>
  <c r="P180" i="1"/>
  <c r="O180" i="1"/>
  <c r="Q180" i="1" s="1"/>
  <c r="P179" i="1"/>
  <c r="O179" i="1"/>
  <c r="Q179" i="1" s="1"/>
  <c r="P178" i="1"/>
  <c r="O178" i="1"/>
  <c r="Q178" i="1" s="1"/>
  <c r="P177" i="1"/>
  <c r="O177" i="1"/>
  <c r="Q177" i="1" s="1"/>
  <c r="P176" i="1"/>
  <c r="O176" i="1"/>
  <c r="Q176" i="1" s="1"/>
  <c r="P175" i="1"/>
  <c r="O175" i="1"/>
  <c r="Q175" i="1" s="1"/>
  <c r="P174" i="1"/>
  <c r="O174" i="1"/>
  <c r="Q174" i="1" s="1"/>
  <c r="P173" i="1"/>
  <c r="O173" i="1"/>
  <c r="Q173" i="1" s="1"/>
  <c r="P172" i="1"/>
  <c r="O172" i="1"/>
  <c r="Q172" i="1" s="1"/>
  <c r="P171" i="1"/>
  <c r="O171" i="1"/>
  <c r="Q171" i="1" s="1"/>
  <c r="P170" i="1"/>
  <c r="O170" i="1"/>
  <c r="Q170" i="1" s="1"/>
  <c r="P169" i="1"/>
  <c r="O169" i="1"/>
  <c r="Q169" i="1" s="1"/>
  <c r="P168" i="1"/>
  <c r="O168" i="1"/>
  <c r="Q168" i="1" s="1"/>
  <c r="P167" i="1"/>
  <c r="O167" i="1"/>
  <c r="Q167" i="1" s="1"/>
  <c r="P166" i="1"/>
  <c r="O166" i="1"/>
  <c r="Q166" i="1" s="1"/>
  <c r="P165" i="1"/>
  <c r="O165" i="1"/>
  <c r="Q165" i="1" s="1"/>
  <c r="P164" i="1"/>
  <c r="O164" i="1"/>
  <c r="Q164" i="1" s="1"/>
  <c r="P163" i="1"/>
  <c r="O163" i="1"/>
  <c r="Q163" i="1" s="1"/>
  <c r="P162" i="1"/>
  <c r="O162" i="1"/>
  <c r="Q162" i="1" s="1"/>
  <c r="P161" i="1"/>
  <c r="O161" i="1"/>
  <c r="Q161" i="1" s="1"/>
  <c r="P160" i="1"/>
  <c r="O160" i="1"/>
  <c r="Q160" i="1" s="1"/>
  <c r="P159" i="1"/>
  <c r="O159" i="1"/>
  <c r="Q159" i="1" s="1"/>
  <c r="P158" i="1"/>
  <c r="O158" i="1"/>
  <c r="Q158" i="1" s="1"/>
  <c r="P157" i="1"/>
  <c r="O157" i="1"/>
  <c r="Q157" i="1" s="1"/>
  <c r="P156" i="1"/>
  <c r="O156" i="1"/>
  <c r="Q156" i="1" s="1"/>
  <c r="P155" i="1"/>
  <c r="O155" i="1"/>
  <c r="Q155" i="1" s="1"/>
  <c r="P154" i="1"/>
  <c r="O154" i="1"/>
  <c r="Q154" i="1" s="1"/>
  <c r="P153" i="1"/>
  <c r="O153" i="1"/>
  <c r="Q153" i="1" s="1"/>
  <c r="P152" i="1"/>
  <c r="O152" i="1"/>
  <c r="Q152" i="1" s="1"/>
  <c r="P151" i="1"/>
  <c r="O151" i="1"/>
  <c r="Q151" i="1" s="1"/>
  <c r="P150" i="1"/>
  <c r="O150" i="1"/>
  <c r="Q150" i="1" s="1"/>
  <c r="P149" i="1"/>
  <c r="O149" i="1"/>
  <c r="Q149" i="1" s="1"/>
  <c r="P148" i="1"/>
  <c r="O148" i="1"/>
  <c r="Q148" i="1" s="1"/>
  <c r="P147" i="1"/>
  <c r="O147" i="1"/>
  <c r="Q147" i="1" s="1"/>
  <c r="P146" i="1"/>
  <c r="O146" i="1"/>
  <c r="Q146" i="1" s="1"/>
  <c r="P145" i="1"/>
  <c r="O145" i="1"/>
  <c r="Q145" i="1" s="1"/>
  <c r="P144" i="1"/>
  <c r="O144" i="1"/>
  <c r="Q144" i="1" s="1"/>
  <c r="P143" i="1"/>
  <c r="O143" i="1"/>
  <c r="Q143" i="1" s="1"/>
  <c r="P142" i="1"/>
  <c r="O142" i="1"/>
  <c r="Q142" i="1" s="1"/>
  <c r="P141" i="1"/>
  <c r="O141" i="1"/>
  <c r="Q141" i="1" s="1"/>
  <c r="P140" i="1"/>
  <c r="O140" i="1"/>
  <c r="Q140" i="1" s="1"/>
  <c r="P139" i="1"/>
  <c r="O139" i="1"/>
  <c r="Q139" i="1" s="1"/>
  <c r="P138" i="1"/>
  <c r="O138" i="1"/>
  <c r="Q138" i="1" s="1"/>
  <c r="P137" i="1"/>
  <c r="O137" i="1"/>
  <c r="Q137" i="1" s="1"/>
  <c r="P136" i="1"/>
  <c r="O136" i="1"/>
  <c r="Q136" i="1" s="1"/>
  <c r="P135" i="1"/>
  <c r="O135" i="1"/>
  <c r="Q135" i="1" s="1"/>
  <c r="P134" i="1"/>
  <c r="O134" i="1"/>
  <c r="Q134" i="1" s="1"/>
  <c r="P133" i="1"/>
  <c r="O133" i="1"/>
  <c r="Q133" i="1" s="1"/>
  <c r="P132" i="1"/>
  <c r="O132" i="1"/>
  <c r="Q132" i="1" s="1"/>
  <c r="P131" i="1"/>
  <c r="O131" i="1"/>
  <c r="Q131" i="1" s="1"/>
  <c r="P130" i="1"/>
  <c r="O130" i="1"/>
  <c r="Q130" i="1" s="1"/>
  <c r="P129" i="1"/>
  <c r="O129" i="1"/>
  <c r="Q129" i="1" s="1"/>
  <c r="P128" i="1"/>
  <c r="O128" i="1"/>
  <c r="Q128" i="1" s="1"/>
  <c r="P127" i="1"/>
  <c r="O127" i="1"/>
  <c r="Q127" i="1" s="1"/>
  <c r="P126" i="1"/>
  <c r="O126" i="1"/>
  <c r="Q126" i="1" s="1"/>
  <c r="P125" i="1"/>
  <c r="O125" i="1"/>
  <c r="Q125" i="1" s="1"/>
  <c r="P124" i="1"/>
  <c r="O124" i="1"/>
  <c r="Q124" i="1" s="1"/>
  <c r="P123" i="1"/>
  <c r="O123" i="1"/>
  <c r="Q123" i="1" s="1"/>
  <c r="P122" i="1"/>
  <c r="O122" i="1"/>
  <c r="Q122" i="1" s="1"/>
  <c r="P121" i="1"/>
  <c r="O121" i="1"/>
  <c r="Q121" i="1" s="1"/>
  <c r="P120" i="1"/>
  <c r="O120" i="1"/>
  <c r="Q120" i="1" s="1"/>
  <c r="P119" i="1"/>
  <c r="O119" i="1"/>
  <c r="Q119" i="1" s="1"/>
  <c r="P118" i="1"/>
  <c r="O118" i="1"/>
  <c r="Q118" i="1" s="1"/>
  <c r="P117" i="1"/>
  <c r="O117" i="1"/>
  <c r="Q117" i="1" s="1"/>
  <c r="P116" i="1"/>
  <c r="O116" i="1"/>
  <c r="Q116" i="1" s="1"/>
  <c r="P115" i="1"/>
  <c r="O115" i="1"/>
  <c r="Q115" i="1" s="1"/>
  <c r="P114" i="1"/>
  <c r="O114" i="1"/>
  <c r="Q114" i="1" s="1"/>
  <c r="P113" i="1"/>
  <c r="O113" i="1"/>
  <c r="Q113" i="1" s="1"/>
  <c r="P112" i="1"/>
  <c r="O112" i="1"/>
  <c r="Q112" i="1" s="1"/>
  <c r="P111" i="1"/>
  <c r="O111" i="1"/>
  <c r="Q111" i="1" s="1"/>
  <c r="P110" i="1"/>
  <c r="O110" i="1"/>
  <c r="Q110" i="1" s="1"/>
  <c r="P109" i="1"/>
  <c r="O109" i="1"/>
  <c r="Q109" i="1" s="1"/>
  <c r="P108" i="1"/>
  <c r="O108" i="1"/>
  <c r="Q108" i="1" s="1"/>
  <c r="P107" i="1"/>
  <c r="O107" i="1"/>
  <c r="Q107" i="1" s="1"/>
  <c r="P106" i="1"/>
  <c r="O106" i="1"/>
  <c r="Q106" i="1" s="1"/>
  <c r="P105" i="1"/>
  <c r="O105" i="1"/>
  <c r="Q105" i="1" s="1"/>
  <c r="P104" i="1"/>
  <c r="O104" i="1"/>
  <c r="Q104" i="1" s="1"/>
  <c r="P103" i="1"/>
  <c r="O103" i="1"/>
  <c r="Q103" i="1" s="1"/>
  <c r="P102" i="1"/>
  <c r="O102" i="1"/>
  <c r="Q102" i="1" s="1"/>
  <c r="P101" i="1"/>
  <c r="O101" i="1"/>
  <c r="Q101" i="1" s="1"/>
  <c r="P100" i="1"/>
  <c r="O100" i="1"/>
  <c r="Q100" i="1" s="1"/>
  <c r="P99" i="1"/>
  <c r="O99" i="1"/>
  <c r="Q99" i="1" s="1"/>
  <c r="P98" i="1"/>
  <c r="O98" i="1"/>
  <c r="Q98" i="1" s="1"/>
  <c r="P97" i="1"/>
  <c r="O97" i="1"/>
  <c r="Q97" i="1" s="1"/>
  <c r="P96" i="1"/>
  <c r="O96" i="1"/>
  <c r="Q96" i="1" s="1"/>
  <c r="P95" i="1"/>
  <c r="O95" i="1"/>
  <c r="Q95" i="1" s="1"/>
  <c r="P94" i="1"/>
  <c r="O94" i="1"/>
  <c r="Q94" i="1" s="1"/>
  <c r="P93" i="1"/>
  <c r="O93" i="1"/>
  <c r="Q93" i="1" s="1"/>
  <c r="P92" i="1"/>
  <c r="O92" i="1"/>
  <c r="Q92" i="1" s="1"/>
  <c r="P91" i="1"/>
  <c r="O91" i="1"/>
  <c r="Q91" i="1" s="1"/>
  <c r="P90" i="1"/>
  <c r="O90" i="1"/>
  <c r="Q90" i="1" s="1"/>
  <c r="P89" i="1"/>
  <c r="O89" i="1"/>
  <c r="Q89" i="1" s="1"/>
  <c r="P88" i="1"/>
  <c r="O88" i="1"/>
  <c r="Q88" i="1" s="1"/>
  <c r="P87" i="1"/>
  <c r="O87" i="1"/>
  <c r="Q87" i="1" s="1"/>
  <c r="P86" i="1"/>
  <c r="O86" i="1"/>
  <c r="Q86" i="1" s="1"/>
  <c r="P85" i="1"/>
  <c r="O85" i="1"/>
  <c r="Q85" i="1" s="1"/>
  <c r="P84" i="1"/>
  <c r="O84" i="1"/>
  <c r="Q84" i="1" s="1"/>
  <c r="P83" i="1"/>
  <c r="O83" i="1"/>
  <c r="Q83" i="1" s="1"/>
  <c r="P82" i="1"/>
  <c r="O82" i="1"/>
  <c r="Q82" i="1" s="1"/>
  <c r="P81" i="1"/>
  <c r="O81" i="1"/>
  <c r="Q81" i="1" s="1"/>
  <c r="P80" i="1"/>
  <c r="O80" i="1"/>
  <c r="Q80" i="1" s="1"/>
  <c r="P79" i="1"/>
  <c r="O79" i="1"/>
  <c r="Q79" i="1" s="1"/>
  <c r="P78" i="1"/>
  <c r="O78" i="1"/>
  <c r="Q78" i="1" s="1"/>
  <c r="P77" i="1"/>
  <c r="O77" i="1"/>
  <c r="Q77" i="1" s="1"/>
  <c r="P76" i="1"/>
  <c r="O76" i="1"/>
  <c r="Q76" i="1" s="1"/>
  <c r="P75" i="1"/>
  <c r="O75" i="1"/>
  <c r="Q75" i="1" s="1"/>
  <c r="P74" i="1"/>
  <c r="O74" i="1"/>
  <c r="Q74" i="1" s="1"/>
  <c r="P73" i="1"/>
  <c r="O73" i="1"/>
  <c r="Q73" i="1" s="1"/>
  <c r="P72" i="1"/>
  <c r="O72" i="1"/>
  <c r="Q72" i="1" s="1"/>
  <c r="P71" i="1"/>
  <c r="O71" i="1"/>
  <c r="Q71" i="1" s="1"/>
  <c r="P70" i="1"/>
  <c r="O70" i="1"/>
  <c r="Q70" i="1" s="1"/>
  <c r="P69" i="1"/>
  <c r="O69" i="1"/>
  <c r="Q69" i="1" s="1"/>
  <c r="P68" i="1"/>
  <c r="O68" i="1"/>
  <c r="Q68" i="1" s="1"/>
  <c r="P67" i="1"/>
  <c r="O67" i="1"/>
  <c r="Q67" i="1" s="1"/>
  <c r="P66" i="1"/>
  <c r="O66" i="1"/>
  <c r="Q66" i="1" s="1"/>
  <c r="P65" i="1"/>
  <c r="O65" i="1"/>
  <c r="Q65" i="1" s="1"/>
  <c r="P64" i="1"/>
  <c r="O64" i="1"/>
  <c r="Q64" i="1" s="1"/>
  <c r="P63" i="1"/>
  <c r="O63" i="1"/>
  <c r="Q63" i="1" s="1"/>
  <c r="P62" i="1"/>
  <c r="O62" i="1"/>
  <c r="Q62" i="1" s="1"/>
  <c r="P61" i="1"/>
  <c r="O61" i="1"/>
  <c r="Q61" i="1" s="1"/>
  <c r="P60" i="1"/>
  <c r="O60" i="1"/>
  <c r="Q60" i="1" s="1"/>
  <c r="P59" i="1"/>
  <c r="O59" i="1"/>
  <c r="Q59" i="1" s="1"/>
  <c r="P58" i="1"/>
  <c r="O58" i="1"/>
  <c r="Q58" i="1" s="1"/>
  <c r="P57" i="1"/>
  <c r="O57" i="1"/>
  <c r="Q57" i="1" s="1"/>
  <c r="P56" i="1"/>
  <c r="O56" i="1"/>
  <c r="Q56" i="1" s="1"/>
  <c r="P55" i="1"/>
  <c r="O55" i="1"/>
  <c r="Q55" i="1" s="1"/>
  <c r="P54" i="1"/>
  <c r="O54" i="1"/>
  <c r="Q54" i="1" s="1"/>
  <c r="P53" i="1"/>
  <c r="O53" i="1"/>
  <c r="Q53" i="1" s="1"/>
  <c r="P52" i="1"/>
  <c r="O52" i="1"/>
  <c r="Q52" i="1" s="1"/>
  <c r="P51" i="1"/>
  <c r="O51" i="1"/>
  <c r="Q51" i="1" s="1"/>
  <c r="P50" i="1"/>
  <c r="O50" i="1"/>
  <c r="Q50" i="1" s="1"/>
  <c r="P49" i="1"/>
  <c r="O49" i="1"/>
  <c r="Q49" i="1" s="1"/>
  <c r="P48" i="1"/>
  <c r="O48" i="1"/>
  <c r="Q48" i="1" s="1"/>
  <c r="P47" i="1"/>
  <c r="O47" i="1"/>
  <c r="Q47" i="1" s="1"/>
  <c r="P46" i="1"/>
  <c r="O46" i="1"/>
  <c r="Q46" i="1" s="1"/>
  <c r="P45" i="1"/>
  <c r="O45" i="1"/>
  <c r="Q45" i="1" s="1"/>
  <c r="P44" i="1"/>
  <c r="O44" i="1"/>
  <c r="Q44" i="1" s="1"/>
  <c r="P43" i="1"/>
  <c r="O43" i="1"/>
  <c r="Q43" i="1" s="1"/>
  <c r="P42" i="1"/>
  <c r="O42" i="1"/>
  <c r="Q42" i="1" s="1"/>
  <c r="P41" i="1"/>
  <c r="O41" i="1"/>
  <c r="Q41" i="1" s="1"/>
  <c r="P40" i="1"/>
  <c r="O40" i="1"/>
  <c r="Q40" i="1" s="1"/>
  <c r="P39" i="1"/>
  <c r="O39" i="1"/>
  <c r="Q39" i="1" s="1"/>
  <c r="P38" i="1"/>
  <c r="O38" i="1"/>
  <c r="Q38" i="1" s="1"/>
  <c r="P37" i="1"/>
  <c r="O37" i="1"/>
  <c r="Q37" i="1" s="1"/>
  <c r="P36" i="1"/>
  <c r="O36" i="1"/>
  <c r="Q36" i="1" s="1"/>
  <c r="P35" i="1"/>
  <c r="O35" i="1"/>
  <c r="Q35" i="1" s="1"/>
  <c r="P34" i="1"/>
  <c r="O34" i="1"/>
  <c r="Q34" i="1" s="1"/>
  <c r="P33" i="1"/>
  <c r="O33" i="1"/>
  <c r="Q33" i="1" s="1"/>
  <c r="P32" i="1"/>
  <c r="O32" i="1"/>
  <c r="Q32" i="1" s="1"/>
  <c r="P31" i="1"/>
  <c r="O31" i="1"/>
  <c r="Q31" i="1" s="1"/>
  <c r="P30" i="1"/>
  <c r="O30" i="1"/>
  <c r="Q30" i="1" s="1"/>
  <c r="P29" i="1"/>
  <c r="O29" i="1"/>
  <c r="Q29" i="1" s="1"/>
  <c r="P28" i="1"/>
  <c r="O28" i="1"/>
  <c r="Q28" i="1" s="1"/>
  <c r="P27" i="1"/>
  <c r="O27" i="1"/>
  <c r="Q27" i="1" s="1"/>
  <c r="P26" i="1"/>
  <c r="O26" i="1"/>
  <c r="Q26" i="1" s="1"/>
  <c r="P25" i="1"/>
  <c r="O25" i="1"/>
  <c r="Q25" i="1" s="1"/>
  <c r="P24" i="1"/>
  <c r="O24" i="1"/>
  <c r="Q24" i="1" s="1"/>
  <c r="P23" i="1"/>
  <c r="O23" i="1"/>
  <c r="Q23" i="1" s="1"/>
  <c r="P22" i="1"/>
  <c r="O22" i="1"/>
  <c r="Q22" i="1" s="1"/>
  <c r="P21" i="1"/>
  <c r="O21" i="1"/>
  <c r="Q21" i="1" s="1"/>
  <c r="P20" i="1"/>
  <c r="O20" i="1"/>
  <c r="Q20" i="1" s="1"/>
  <c r="P19" i="1"/>
  <c r="O19" i="1"/>
  <c r="Q19" i="1" s="1"/>
  <c r="P18" i="1"/>
  <c r="O18" i="1"/>
  <c r="Q18" i="1" s="1"/>
  <c r="P17" i="1"/>
  <c r="O17" i="1"/>
  <c r="Q17" i="1" s="1"/>
  <c r="P16" i="1"/>
  <c r="O16" i="1"/>
  <c r="Q16" i="1" s="1"/>
  <c r="P15" i="1"/>
  <c r="O15" i="1"/>
  <c r="Q15" i="1" s="1"/>
  <c r="P14" i="1"/>
  <c r="O14" i="1"/>
  <c r="Q14" i="1" s="1"/>
  <c r="P13" i="1"/>
  <c r="O13" i="1"/>
  <c r="Q13" i="1" s="1"/>
  <c r="P12" i="1"/>
  <c r="O12" i="1"/>
  <c r="Q12" i="1" s="1"/>
  <c r="P11" i="1"/>
  <c r="O11" i="1"/>
  <c r="Q11" i="1" s="1"/>
  <c r="P10" i="1"/>
  <c r="O10" i="1"/>
  <c r="Q10" i="1" s="1"/>
  <c r="P9" i="1"/>
  <c r="O9" i="1"/>
  <c r="Q9" i="1" s="1"/>
  <c r="P8" i="1"/>
  <c r="O8" i="1"/>
  <c r="Q8" i="1" s="1"/>
  <c r="P7" i="1"/>
  <c r="O7" i="1"/>
  <c r="Q7" i="1" s="1"/>
  <c r="P6" i="1"/>
  <c r="O6" i="1"/>
  <c r="Q6" i="1" s="1"/>
  <c r="P5" i="1"/>
  <c r="O5" i="1"/>
  <c r="Q5" i="1" s="1"/>
  <c r="P4" i="1"/>
  <c r="O4" i="1"/>
  <c r="Q4" i="1" s="1"/>
  <c r="P3" i="1"/>
  <c r="O3" i="1"/>
  <c r="Q3" i="1" s="1"/>
  <c r="P2" i="1"/>
  <c r="O2" i="1"/>
  <c r="Q2" i="1" s="1"/>
</calcChain>
</file>

<file path=xl/sharedStrings.xml><?xml version="1.0" encoding="utf-8"?>
<sst xmlns="http://schemas.openxmlformats.org/spreadsheetml/2006/main" count="299" uniqueCount="179">
  <si>
    <t>Business Area</t>
  </si>
  <si>
    <t>Business Goal</t>
  </si>
  <si>
    <t>AI Opportunity</t>
  </si>
  <si>
    <t>Relevant Team</t>
  </si>
  <si>
    <t>Makes Money</t>
  </si>
  <si>
    <t>Saves Money</t>
  </si>
  <si>
    <t>Increases Loyalty</t>
  </si>
  <si>
    <t>Protect/Grow Market Share</t>
  </si>
  <si>
    <t>Data Readiness</t>
  </si>
  <si>
    <t>Process Readiness</t>
  </si>
  <si>
    <t>Implementation/System Complexity</t>
  </si>
  <si>
    <t>Change Risk</t>
  </si>
  <si>
    <t>Cost</t>
  </si>
  <si>
    <t>Ease of MVP</t>
  </si>
  <si>
    <t>Impact Score</t>
  </si>
  <si>
    <t>Feasibility Score</t>
  </si>
  <si>
    <t>Overall Score</t>
  </si>
  <si>
    <t>Factor</t>
  </si>
  <si>
    <t>Question</t>
  </si>
  <si>
    <t>0</t>
  </si>
  <si>
    <t>5</t>
  </si>
  <si>
    <t>15</t>
  </si>
  <si>
    <t>30</t>
  </si>
  <si>
    <t>50</t>
  </si>
  <si>
    <t>75</t>
  </si>
  <si>
    <t>100</t>
  </si>
  <si>
    <t>Incremental revenue?</t>
  </si>
  <si>
    <t>No impact</t>
  </si>
  <si>
    <t>Negligible</t>
  </si>
  <si>
    <t>Small single area</t>
  </si>
  <si>
    <t>Moderate area</t>
  </si>
  <si>
    <t>Significant measurable</t>
  </si>
  <si>
    <t>Major multi-channel</t>
  </si>
  <si>
    <t>Transformational enterprise</t>
  </si>
  <si>
    <t>Cost reduction?</t>
  </si>
  <si>
    <t>No savings</t>
  </si>
  <si>
    <t>Minimal</t>
  </si>
  <si>
    <t>Small team</t>
  </si>
  <si>
    <t>Department gains</t>
  </si>
  <si>
    <t>Significant savings</t>
  </si>
  <si>
    <t>Major recurring savings</t>
  </si>
  <si>
    <t>Enterprise optimization</t>
  </si>
  <si>
    <t>Retention impact?</t>
  </si>
  <si>
    <t>None</t>
  </si>
  <si>
    <t>Marginal</t>
  </si>
  <si>
    <t>Limited</t>
  </si>
  <si>
    <t>Noticeable</t>
  </si>
  <si>
    <t>Strong retention</t>
  </si>
  <si>
    <t>Major relationship value</t>
  </si>
  <si>
    <t>Transformational loyalty</t>
  </si>
  <si>
    <t>Competitive impact?</t>
  </si>
  <si>
    <t>Maintain competitiveness</t>
  </si>
  <si>
    <t>Meaningful advantage</t>
  </si>
  <si>
    <t>Strong differentiator</t>
  </si>
  <si>
    <t>Category leadership</t>
  </si>
  <si>
    <t>Data available?</t>
  </si>
  <si>
    <t>Poor</t>
  </si>
  <si>
    <t>Gaps</t>
  </si>
  <si>
    <t>Partial</t>
  </si>
  <si>
    <t>Most available</t>
  </si>
  <si>
    <t>Largely trusted</t>
  </si>
  <si>
    <t>Production ready</t>
  </si>
  <si>
    <t>Process maturity?</t>
  </si>
  <si>
    <t>Undefined</t>
  </si>
  <si>
    <t>Inconsistent</t>
  </si>
  <si>
    <t>Informal</t>
  </si>
  <si>
    <t>Documented</t>
  </si>
  <si>
    <t>Standardized</t>
  </si>
  <si>
    <t>Mature KPIs</t>
  </si>
  <si>
    <t>Highly optimized</t>
  </si>
  <si>
    <t>Difficulty?</t>
  </si>
  <si>
    <t>Simple</t>
  </si>
  <si>
    <t>Minor</t>
  </si>
  <si>
    <t>Moderate</t>
  </si>
  <si>
    <t>Complex</t>
  </si>
  <si>
    <t>Enterprise transformation</t>
  </si>
  <si>
    <t>Adoption risk?</t>
  </si>
  <si>
    <t>Significant</t>
  </si>
  <si>
    <t>Major challenge</t>
  </si>
  <si>
    <t>Major disruption</t>
  </si>
  <si>
    <t>Investment required?</t>
  </si>
  <si>
    <t>Existing only</t>
  </si>
  <si>
    <t>Small</t>
  </si>
  <si>
    <t>Large multi-year</t>
  </si>
  <si>
    <t>Strategic enterprise</t>
  </si>
  <si>
    <t>Pilot speed?</t>
  </si>
  <si>
    <t>Not feasible</t>
  </si>
  <si>
    <t>Major prep</t>
  </si>
  <si>
    <t>Difficult</t>
  </si>
  <si>
    <t>Significant effort</t>
  </si>
  <si>
    <t>Feasible</t>
  </si>
  <si>
    <t>Quick MVP</t>
  </si>
  <si>
    <t>Rapid compelling MVP</t>
  </si>
  <si>
    <t>Impact Factor</t>
  </si>
  <si>
    <t>Weight</t>
  </si>
  <si>
    <t>35%</t>
  </si>
  <si>
    <t>15%</t>
  </si>
  <si>
    <t>Feasibility Factor</t>
  </si>
  <si>
    <t>30%</t>
  </si>
  <si>
    <t>20%</t>
  </si>
  <si>
    <t>Implementation/System Complexity (inverted)</t>
  </si>
  <si>
    <t>Change Risk (inverted)</t>
  </si>
  <si>
    <t>10%</t>
  </si>
  <si>
    <t>Cost (inverted)</t>
  </si>
  <si>
    <t>5%</t>
  </si>
  <si>
    <t>Overall</t>
  </si>
  <si>
    <t>60%</t>
  </si>
  <si>
    <t>40%</t>
  </si>
  <si>
    <t>Supply Chain</t>
  </si>
  <si>
    <t>Reduce Cost</t>
  </si>
  <si>
    <t>Demand Forecasting</t>
  </si>
  <si>
    <t>Supply Chain, Planning</t>
  </si>
  <si>
    <t>Inventory Optimization</t>
  </si>
  <si>
    <t>Supply Chain, Merchandising</t>
  </si>
  <si>
    <t>Improve Operational Efficiency</t>
  </si>
  <si>
    <t>Automated Replenishment Recommendations</t>
  </si>
  <si>
    <t>Stock Transfer Optimization</t>
  </si>
  <si>
    <t>Supply Chain, Logistics</t>
  </si>
  <si>
    <t>Reduce Risk</t>
  </si>
  <si>
    <t>Supplier Risk Monitoring</t>
  </si>
  <si>
    <t>Procurement</t>
  </si>
  <si>
    <t>Distribution Center Labor Optimization</t>
  </si>
  <si>
    <t>Distribution Operations</t>
  </si>
  <si>
    <t>Store &amp; Retail Operations</t>
  </si>
  <si>
    <t>Workforce Scheduling Optimization</t>
  </si>
  <si>
    <t>Store Operations</t>
  </si>
  <si>
    <t>Improve Employee Productivity</t>
  </si>
  <si>
    <t>Store Manager Copilot</t>
  </si>
  <si>
    <t>Task Prioritization Assistant</t>
  </si>
  <si>
    <t>Loss Prevention Anomaly Detection</t>
  </si>
  <si>
    <t>Asset Protection</t>
  </si>
  <si>
    <t>Improve Customer Experience</t>
  </si>
  <si>
    <t>In-Store Associate Copilot</t>
  </si>
  <si>
    <t>Energy Consumption Optimization</t>
  </si>
  <si>
    <t>Facilities</t>
  </si>
  <si>
    <t>eCommerce</t>
  </si>
  <si>
    <t>Increase Revenue</t>
  </si>
  <si>
    <t>Product Recommendation Engine</t>
  </si>
  <si>
    <t>Digital Commerce</t>
  </si>
  <si>
    <t>Dynamic Product Bundling</t>
  </si>
  <si>
    <t>Conversational Shopping Assistant</t>
  </si>
  <si>
    <t>Personalized Search Results</t>
  </si>
  <si>
    <t>Return Prediction &amp; Prevention</t>
  </si>
  <si>
    <t>Win Younger Audience</t>
  </si>
  <si>
    <t>AI Style Advisor</t>
  </si>
  <si>
    <t>Digital Commerce, Marketing</t>
  </si>
  <si>
    <t>Marketing &amp; Branding</t>
  </si>
  <si>
    <t>Customer Segmentation AI</t>
  </si>
  <si>
    <t>Marketing</t>
  </si>
  <si>
    <t>Marketing Asset Generation</t>
  </si>
  <si>
    <t>Creative Services</t>
  </si>
  <si>
    <t>Campaign Performance Optimization</t>
  </si>
  <si>
    <t>Trend Detection &amp; Social Listening</t>
  </si>
  <si>
    <t>Competitive Intelligence Assistant</t>
  </si>
  <si>
    <t>Increase Loyalty</t>
  </si>
  <si>
    <t>Personalized Offer Generation</t>
  </si>
  <si>
    <t>CRM / Marketing</t>
  </si>
  <si>
    <t>Finance</t>
  </si>
  <si>
    <t>Invoice Processing Automation</t>
  </si>
  <si>
    <t>Financial Close Copilot</t>
  </si>
  <si>
    <t>Fraud &amp; Anomaly Detection</t>
  </si>
  <si>
    <t>Improve Planning</t>
  </si>
  <si>
    <t>Cash Flow Forecasting</t>
  </si>
  <si>
    <t>FP&amp;A</t>
  </si>
  <si>
    <t>Vendor Spend Optimization</t>
  </si>
  <si>
    <t>Procurement / Finance</t>
  </si>
  <si>
    <t>Finance Analyst Copilot</t>
  </si>
  <si>
    <t>Customer Care</t>
  </si>
  <si>
    <t>Customer Service Chatbot</t>
  </si>
  <si>
    <t>Agent Assist Copilot</t>
  </si>
  <si>
    <t>Case Summarization</t>
  </si>
  <si>
    <t>Proactive Customer Issue Resolution</t>
  </si>
  <si>
    <t>Contact Center Demand Forecasting</t>
  </si>
  <si>
    <t>Voice-of-Customer Insights Engine</t>
  </si>
  <si>
    <t>AI Opportunity Assessment v1.0</t>
  </si>
  <si>
    <t>Use only scores: 0,5,15,30,50,75,100. Select the lowest level fully supported by evidence.</t>
  </si>
  <si>
    <t>Impact Weights: Makes Money 35%, Saves Money 35%, Loyalty 15%, Market Share 15%.</t>
  </si>
  <si>
    <t>Feasibility Weights: Data 30%, Process 20%, Complexity 20% (inverted), MVP 15%, Change Risk 10% (inverted), Cost 5% (inverted).</t>
  </si>
  <si>
    <t>Overall Score: Impact 60%, Feasibility 40%.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</si>
</sst>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00"/>
  <sheetViews>
    <sheetView tabSelected="1" workbookViewId="0"/>
  </sheetViews>
  <sheetFormatPr defaultRowHeight="15"/>
  <cols>
    <col min="1" max="1" width="20" customWidth="1"/>
    <col min="2" max="2" width="25" customWidth="1"/>
    <col min="3" max="3" width="35" customWidth="1"/>
    <col min="4" max="4" width="20" customWidth="1"/>
    <col min="5" max="6" width="12" customWidth="1"/>
    <col min="7" max="7" width="15" customWidth="1"/>
    <col min="8" max="8" width="20" customWidth="1"/>
    <col min="9" max="10" width="15" customWidth="1"/>
    <col min="11" max="11" width="22" customWidth="1"/>
    <col min="12" max="12" width="12" customWidth="1"/>
    <col min="13" max="13" width="10" customWidth="1"/>
    <col min="14" max="15" width="12" customWidth="1"/>
    <col min="16" max="16" width="15" customWidth="1"/>
    <col min="17" max="17" width="12" customWidth="1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O2">
        <f>E2*0.35+F2*0.35+G2*0.15+H2*0.15</f>
        <v>0</v>
      </c>
      <c r="P2">
        <f>I2*0.3+J2*0.2+(100-K2)*0.2+N2*0.15+(100-L2)*0.1+(100-M2)*0.05</f>
        <v>35</v>
      </c>
      <c r="Q2">
        <f>O2*0.6+P2*0.4</f>
        <v>14</v>
      </c>
    </row>
    <row r="3" spans="1:17">
      <c r="O3">
        <f>E3*0.35+F3*0.35+G3*0.15+H3*0.15</f>
        <v>0</v>
      </c>
      <c r="P3">
        <f>I3*0.3+J3*0.2+(100-K3)*0.2+N3*0.15+(100-L3)*0.1+(100-M3)*0.05</f>
        <v>35</v>
      </c>
      <c r="Q3">
        <f>O3*0.6+P3*0.4</f>
        <v>14</v>
      </c>
    </row>
    <row r="4" spans="1:17">
      <c r="O4">
        <f>E4*0.35+F4*0.35+G4*0.15+H4*0.15</f>
        <v>0</v>
      </c>
      <c r="P4">
        <f>I4*0.3+J4*0.2+(100-K4)*0.2+N4*0.15+(100-L4)*0.1+(100-M4)*0.05</f>
        <v>35</v>
      </c>
      <c r="Q4">
        <f>O4*0.6+P4*0.4</f>
        <v>14</v>
      </c>
    </row>
    <row r="5" spans="1:17">
      <c r="O5">
        <f>E5*0.35+F5*0.35+G5*0.15+H5*0.15</f>
        <v>0</v>
      </c>
      <c r="P5">
        <f>I5*0.3+J5*0.2+(100-K5)*0.2+N5*0.15+(100-L5)*0.1+(100-M5)*0.05</f>
        <v>35</v>
      </c>
      <c r="Q5">
        <f>O5*0.6+P5*0.4</f>
        <v>14</v>
      </c>
    </row>
    <row r="6" spans="1:17">
      <c r="O6">
        <f>E6*0.35+F6*0.35+G6*0.15+H6*0.15</f>
        <v>0</v>
      </c>
      <c r="P6">
        <f>I6*0.3+J6*0.2+(100-K6)*0.2+N6*0.15+(100-L6)*0.1+(100-M6)*0.05</f>
        <v>35</v>
      </c>
      <c r="Q6">
        <f>O6*0.6+P6*0.4</f>
        <v>14</v>
      </c>
    </row>
    <row r="7" spans="1:17">
      <c r="O7">
        <f>E7*0.35+F7*0.35+G7*0.15+H7*0.15</f>
        <v>0</v>
      </c>
      <c r="P7">
        <f>I7*0.3+J7*0.2+(100-K7)*0.2+N7*0.15+(100-L7)*0.1+(100-M7)*0.05</f>
        <v>35</v>
      </c>
      <c r="Q7">
        <f>O7*0.6+P7*0.4</f>
        <v>14</v>
      </c>
    </row>
    <row r="8" spans="1:17">
      <c r="O8">
        <f>E8*0.35+F8*0.35+G8*0.15+H8*0.15</f>
        <v>0</v>
      </c>
      <c r="P8">
        <f>I8*0.3+J8*0.2+(100-K8)*0.2+N8*0.15+(100-L8)*0.1+(100-M8)*0.05</f>
        <v>35</v>
      </c>
      <c r="Q8">
        <f>O8*0.6+P8*0.4</f>
        <v>14</v>
      </c>
    </row>
    <row r="9" spans="1:17">
      <c r="O9">
        <f>E9*0.35+F9*0.35+G9*0.15+H9*0.15</f>
        <v>0</v>
      </c>
      <c r="P9">
        <f>I9*0.3+J9*0.2+(100-K9)*0.2+N9*0.15+(100-L9)*0.1+(100-M9)*0.05</f>
        <v>35</v>
      </c>
      <c r="Q9">
        <f>O9*0.6+P9*0.4</f>
        <v>14</v>
      </c>
    </row>
    <row r="10" spans="1:17">
      <c r="O10">
        <f>E10*0.35+F10*0.35+G10*0.15+H10*0.15</f>
        <v>0</v>
      </c>
      <c r="P10">
        <f>I10*0.3+J10*0.2+(100-K10)*0.2+N10*0.15+(100-L10)*0.1+(100-M10)*0.05</f>
        <v>35</v>
      </c>
      <c r="Q10">
        <f>O10*0.6+P10*0.4</f>
        <v>14</v>
      </c>
    </row>
    <row r="11" spans="1:17">
      <c r="O11">
        <f>E11*0.35+F11*0.35+G11*0.15+H11*0.15</f>
        <v>0</v>
      </c>
      <c r="P11">
        <f>I11*0.3+J11*0.2+(100-K11)*0.2+N11*0.15+(100-L11)*0.1+(100-M11)*0.05</f>
        <v>35</v>
      </c>
      <c r="Q11">
        <f>O11*0.6+P11*0.4</f>
        <v>14</v>
      </c>
    </row>
    <row r="12" spans="1:17">
      <c r="O12">
        <f>E12*0.35+F12*0.35+G12*0.15+H12*0.15</f>
        <v>0</v>
      </c>
      <c r="P12">
        <f>I12*0.3+J12*0.2+(100-K12)*0.2+N12*0.15+(100-L12)*0.1+(100-M12)*0.05</f>
        <v>35</v>
      </c>
      <c r="Q12">
        <f>O12*0.6+P12*0.4</f>
        <v>14</v>
      </c>
    </row>
    <row r="13" spans="1:17">
      <c r="O13">
        <f>E13*0.35+F13*0.35+G13*0.15+H13*0.15</f>
        <v>0</v>
      </c>
      <c r="P13">
        <f>I13*0.3+J13*0.2+(100-K13)*0.2+N13*0.15+(100-L13)*0.1+(100-M13)*0.05</f>
        <v>35</v>
      </c>
      <c r="Q13">
        <f>O13*0.6+P13*0.4</f>
        <v>14</v>
      </c>
    </row>
    <row r="14" spans="1:17">
      <c r="O14">
        <f>E14*0.35+F14*0.35+G14*0.15+H14*0.15</f>
        <v>0</v>
      </c>
      <c r="P14">
        <f>I14*0.3+J14*0.2+(100-K14)*0.2+N14*0.15+(100-L14)*0.1+(100-M14)*0.05</f>
        <v>35</v>
      </c>
      <c r="Q14">
        <f>O14*0.6+P14*0.4</f>
        <v>14</v>
      </c>
    </row>
    <row r="15" spans="1:17">
      <c r="O15">
        <f>E15*0.35+F15*0.35+G15*0.15+H15*0.15</f>
        <v>0</v>
      </c>
      <c r="P15">
        <f>I15*0.3+J15*0.2+(100-K15)*0.2+N15*0.15+(100-L15)*0.1+(100-M15)*0.05</f>
        <v>35</v>
      </c>
      <c r="Q15">
        <f>O15*0.6+P15*0.4</f>
        <v>14</v>
      </c>
    </row>
    <row r="16" spans="1:17">
      <c r="O16">
        <f>E16*0.35+F16*0.35+G16*0.15+H16*0.15</f>
        <v>0</v>
      </c>
      <c r="P16">
        <f>I16*0.3+J16*0.2+(100-K16)*0.2+N16*0.15+(100-L16)*0.1+(100-M16)*0.05</f>
        <v>35</v>
      </c>
      <c r="Q16">
        <f>O16*0.6+P16*0.4</f>
        <v>14</v>
      </c>
    </row>
    <row r="17" spans="15:17">
      <c r="O17">
        <f>E17*0.35+F17*0.35+G17*0.15+H17*0.15</f>
        <v>0</v>
      </c>
      <c r="P17">
        <f>I17*0.3+J17*0.2+(100-K17)*0.2+N17*0.15+(100-L17)*0.1+(100-M17)*0.05</f>
        <v>35</v>
      </c>
      <c r="Q17">
        <f>O17*0.6+P17*0.4</f>
        <v>14</v>
      </c>
    </row>
    <row r="18" spans="15:17">
      <c r="O18">
        <f>E18*0.35+F18*0.35+G18*0.15+H18*0.15</f>
        <v>0</v>
      </c>
      <c r="P18">
        <f>I18*0.3+J18*0.2+(100-K18)*0.2+N18*0.15+(100-L18)*0.1+(100-M18)*0.05</f>
        <v>35</v>
      </c>
      <c r="Q18">
        <f>O18*0.6+P18*0.4</f>
        <v>14</v>
      </c>
    </row>
    <row r="19" spans="15:17">
      <c r="O19">
        <f>E19*0.35+F19*0.35+G19*0.15+H19*0.15</f>
        <v>0</v>
      </c>
      <c r="P19">
        <f>I19*0.3+J19*0.2+(100-K19)*0.2+N19*0.15+(100-L19)*0.1+(100-M19)*0.05</f>
        <v>35</v>
      </c>
      <c r="Q19">
        <f>O19*0.6+P19*0.4</f>
        <v>14</v>
      </c>
    </row>
    <row r="20" spans="15:17">
      <c r="O20">
        <f>E20*0.35+F20*0.35+G20*0.15+H20*0.15</f>
        <v>0</v>
      </c>
      <c r="P20">
        <f>I20*0.3+J20*0.2+(100-K20)*0.2+N20*0.15+(100-L20)*0.1+(100-M20)*0.05</f>
        <v>35</v>
      </c>
      <c r="Q20">
        <f>O20*0.6+P20*0.4</f>
        <v>14</v>
      </c>
    </row>
    <row r="21" spans="15:17">
      <c r="O21">
        <f>E21*0.35+F21*0.35+G21*0.15+H21*0.15</f>
        <v>0</v>
      </c>
      <c r="P21">
        <f>I21*0.3+J21*0.2+(100-K21)*0.2+N21*0.15+(100-L21)*0.1+(100-M21)*0.05</f>
        <v>35</v>
      </c>
      <c r="Q21">
        <f>O21*0.6+P21*0.4</f>
        <v>14</v>
      </c>
    </row>
    <row r="22" spans="15:17">
      <c r="O22">
        <f>E22*0.35+F22*0.35+G22*0.15+H22*0.15</f>
        <v>0</v>
      </c>
      <c r="P22">
        <f>I22*0.3+J22*0.2+(100-K22)*0.2+N22*0.15+(100-L22)*0.1+(100-M22)*0.05</f>
        <v>35</v>
      </c>
      <c r="Q22">
        <f>O22*0.6+P22*0.4</f>
        <v>14</v>
      </c>
    </row>
    <row r="23" spans="15:17">
      <c r="O23">
        <f>E23*0.35+F23*0.35+G23*0.15+H23*0.15</f>
        <v>0</v>
      </c>
      <c r="P23">
        <f>I23*0.3+J23*0.2+(100-K23)*0.2+N23*0.15+(100-L23)*0.1+(100-M23)*0.05</f>
        <v>35</v>
      </c>
      <c r="Q23">
        <f>O23*0.6+P23*0.4</f>
        <v>14</v>
      </c>
    </row>
    <row r="24" spans="15:17">
      <c r="O24">
        <f>E24*0.35+F24*0.35+G24*0.15+H24*0.15</f>
        <v>0</v>
      </c>
      <c r="P24">
        <f>I24*0.3+J24*0.2+(100-K24)*0.2+N24*0.15+(100-L24)*0.1+(100-M24)*0.05</f>
        <v>35</v>
      </c>
      <c r="Q24">
        <f>O24*0.6+P24*0.4</f>
        <v>14</v>
      </c>
    </row>
    <row r="25" spans="15:17">
      <c r="O25">
        <f>E25*0.35+F25*0.35+G25*0.15+H25*0.15</f>
        <v>0</v>
      </c>
      <c r="P25">
        <f>I25*0.3+J25*0.2+(100-K25)*0.2+N25*0.15+(100-L25)*0.1+(100-M25)*0.05</f>
        <v>35</v>
      </c>
      <c r="Q25">
        <f>O25*0.6+P25*0.4</f>
        <v>14</v>
      </c>
    </row>
    <row r="26" spans="15:17">
      <c r="O26">
        <f>E26*0.35+F26*0.35+G26*0.15+H26*0.15</f>
        <v>0</v>
      </c>
      <c r="P26">
        <f>I26*0.3+J26*0.2+(100-K26)*0.2+N26*0.15+(100-L26)*0.1+(100-M26)*0.05</f>
        <v>35</v>
      </c>
      <c r="Q26">
        <f>O26*0.6+P26*0.4</f>
        <v>14</v>
      </c>
    </row>
    <row r="27" spans="15:17">
      <c r="O27">
        <f>E27*0.35+F27*0.35+G27*0.15+H27*0.15</f>
        <v>0</v>
      </c>
      <c r="P27">
        <f>I27*0.3+J27*0.2+(100-K27)*0.2+N27*0.15+(100-L27)*0.1+(100-M27)*0.05</f>
        <v>35</v>
      </c>
      <c r="Q27">
        <f>O27*0.6+P27*0.4</f>
        <v>14</v>
      </c>
    </row>
    <row r="28" spans="15:17">
      <c r="O28">
        <f>E28*0.35+F28*0.35+G28*0.15+H28*0.15</f>
        <v>0</v>
      </c>
      <c r="P28">
        <f>I28*0.3+J28*0.2+(100-K28)*0.2+N28*0.15+(100-L28)*0.1+(100-M28)*0.05</f>
        <v>35</v>
      </c>
      <c r="Q28">
        <f>O28*0.6+P28*0.4</f>
        <v>14</v>
      </c>
    </row>
    <row r="29" spans="15:17">
      <c r="O29">
        <f>E29*0.35+F29*0.35+G29*0.15+H29*0.15</f>
        <v>0</v>
      </c>
      <c r="P29">
        <f>I29*0.3+J29*0.2+(100-K29)*0.2+N29*0.15+(100-L29)*0.1+(100-M29)*0.05</f>
        <v>35</v>
      </c>
      <c r="Q29">
        <f>O29*0.6+P29*0.4</f>
        <v>14</v>
      </c>
    </row>
    <row r="30" spans="15:17">
      <c r="O30">
        <f>E30*0.35+F30*0.35+G30*0.15+H30*0.15</f>
        <v>0</v>
      </c>
      <c r="P30">
        <f>I30*0.3+J30*0.2+(100-K30)*0.2+N30*0.15+(100-L30)*0.1+(100-M30)*0.05</f>
        <v>35</v>
      </c>
      <c r="Q30">
        <f>O30*0.6+P30*0.4</f>
        <v>14</v>
      </c>
    </row>
    <row r="31" spans="15:17">
      <c r="O31">
        <f>E31*0.35+F31*0.35+G31*0.15+H31*0.15</f>
        <v>0</v>
      </c>
      <c r="P31">
        <f>I31*0.3+J31*0.2+(100-K31)*0.2+N31*0.15+(100-L31)*0.1+(100-M31)*0.05</f>
        <v>35</v>
      </c>
      <c r="Q31">
        <f>O31*0.6+P31*0.4</f>
        <v>14</v>
      </c>
    </row>
    <row r="32" spans="15:17">
      <c r="O32">
        <f>E32*0.35+F32*0.35+G32*0.15+H32*0.15</f>
        <v>0</v>
      </c>
      <c r="P32">
        <f>I32*0.3+J32*0.2+(100-K32)*0.2+N32*0.15+(100-L32)*0.1+(100-M32)*0.05</f>
        <v>35</v>
      </c>
      <c r="Q32">
        <f>O32*0.6+P32*0.4</f>
        <v>14</v>
      </c>
    </row>
    <row r="33" spans="15:17">
      <c r="O33">
        <f>E33*0.35+F33*0.35+G33*0.15+H33*0.15</f>
        <v>0</v>
      </c>
      <c r="P33">
        <f>I33*0.3+J33*0.2+(100-K33)*0.2+N33*0.15+(100-L33)*0.1+(100-M33)*0.05</f>
        <v>35</v>
      </c>
      <c r="Q33">
        <f>O33*0.6+P33*0.4</f>
        <v>14</v>
      </c>
    </row>
    <row r="34" spans="15:17">
      <c r="O34">
        <f>E34*0.35+F34*0.35+G34*0.15+H34*0.15</f>
        <v>0</v>
      </c>
      <c r="P34">
        <f>I34*0.3+J34*0.2+(100-K34)*0.2+N34*0.15+(100-L34)*0.1+(100-M34)*0.05</f>
        <v>35</v>
      </c>
      <c r="Q34">
        <f>O34*0.6+P34*0.4</f>
        <v>14</v>
      </c>
    </row>
    <row r="35" spans="15:17">
      <c r="O35">
        <f>E35*0.35+F35*0.35+G35*0.15+H35*0.15</f>
        <v>0</v>
      </c>
      <c r="P35">
        <f>I35*0.3+J35*0.2+(100-K35)*0.2+N35*0.15+(100-L35)*0.1+(100-M35)*0.05</f>
        <v>35</v>
      </c>
      <c r="Q35">
        <f>O35*0.6+P35*0.4</f>
        <v>14</v>
      </c>
    </row>
    <row r="36" spans="15:17">
      <c r="O36">
        <f>E36*0.35+F36*0.35+G36*0.15+H36*0.15</f>
        <v>0</v>
      </c>
      <c r="P36">
        <f>I36*0.3+J36*0.2+(100-K36)*0.2+N36*0.15+(100-L36)*0.1+(100-M36)*0.05</f>
        <v>35</v>
      </c>
      <c r="Q36">
        <f>O36*0.6+P36*0.4</f>
        <v>14</v>
      </c>
    </row>
    <row r="37" spans="15:17">
      <c r="O37">
        <f>E37*0.35+F37*0.35+G37*0.15+H37*0.15</f>
        <v>0</v>
      </c>
      <c r="P37">
        <f>I37*0.3+J37*0.2+(100-K37)*0.2+N37*0.15+(100-L37)*0.1+(100-M37)*0.05</f>
        <v>35</v>
      </c>
      <c r="Q37">
        <f>O37*0.6+P37*0.4</f>
        <v>14</v>
      </c>
    </row>
    <row r="38" spans="15:17">
      <c r="O38">
        <f>E38*0.35+F38*0.35+G38*0.15+H38*0.15</f>
        <v>0</v>
      </c>
      <c r="P38">
        <f>I38*0.3+J38*0.2+(100-K38)*0.2+N38*0.15+(100-L38)*0.1+(100-M38)*0.05</f>
        <v>35</v>
      </c>
      <c r="Q38">
        <f>O38*0.6+P38*0.4</f>
        <v>14</v>
      </c>
    </row>
    <row r="39" spans="15:17">
      <c r="O39">
        <f>E39*0.35+F39*0.35+G39*0.15+H39*0.15</f>
        <v>0</v>
      </c>
      <c r="P39">
        <f>I39*0.3+J39*0.2+(100-K39)*0.2+N39*0.15+(100-L39)*0.1+(100-M39)*0.05</f>
        <v>35</v>
      </c>
      <c r="Q39">
        <f>O39*0.6+P39*0.4</f>
        <v>14</v>
      </c>
    </row>
    <row r="40" spans="15:17">
      <c r="O40">
        <f>E40*0.35+F40*0.35+G40*0.15+H40*0.15</f>
        <v>0</v>
      </c>
      <c r="P40">
        <f>I40*0.3+J40*0.2+(100-K40)*0.2+N40*0.15+(100-L40)*0.1+(100-M40)*0.05</f>
        <v>35</v>
      </c>
      <c r="Q40">
        <f>O40*0.6+P40*0.4</f>
        <v>14</v>
      </c>
    </row>
    <row r="41" spans="15:17">
      <c r="O41">
        <f>E41*0.35+F41*0.35+G41*0.15+H41*0.15</f>
        <v>0</v>
      </c>
      <c r="P41">
        <f>I41*0.3+J41*0.2+(100-K41)*0.2+N41*0.15+(100-L41)*0.1+(100-M41)*0.05</f>
        <v>35</v>
      </c>
      <c r="Q41">
        <f>O41*0.6+P41*0.4</f>
        <v>14</v>
      </c>
    </row>
    <row r="42" spans="15:17">
      <c r="O42">
        <f>E42*0.35+F42*0.35+G42*0.15+H42*0.15</f>
        <v>0</v>
      </c>
      <c r="P42">
        <f>I42*0.3+J42*0.2+(100-K42)*0.2+N42*0.15+(100-L42)*0.1+(100-M42)*0.05</f>
        <v>35</v>
      </c>
      <c r="Q42">
        <f>O42*0.6+P42*0.4</f>
        <v>14</v>
      </c>
    </row>
    <row r="43" spans="15:17">
      <c r="O43">
        <f>E43*0.35+F43*0.35+G43*0.15+H43*0.15</f>
        <v>0</v>
      </c>
      <c r="P43">
        <f>I43*0.3+J43*0.2+(100-K43)*0.2+N43*0.15+(100-L43)*0.1+(100-M43)*0.05</f>
        <v>35</v>
      </c>
      <c r="Q43">
        <f>O43*0.6+P43*0.4</f>
        <v>14</v>
      </c>
    </row>
    <row r="44" spans="15:17">
      <c r="O44">
        <f>E44*0.35+F44*0.35+G44*0.15+H44*0.15</f>
        <v>0</v>
      </c>
      <c r="P44">
        <f>I44*0.3+J44*0.2+(100-K44)*0.2+N44*0.15+(100-L44)*0.1+(100-M44)*0.05</f>
        <v>35</v>
      </c>
      <c r="Q44">
        <f>O44*0.6+P44*0.4</f>
        <v>14</v>
      </c>
    </row>
    <row r="45" spans="15:17">
      <c r="O45">
        <f>E45*0.35+F45*0.35+G45*0.15+H45*0.15</f>
        <v>0</v>
      </c>
      <c r="P45">
        <f>I45*0.3+J45*0.2+(100-K45)*0.2+N45*0.15+(100-L45)*0.1+(100-M45)*0.05</f>
        <v>35</v>
      </c>
      <c r="Q45">
        <f>O45*0.6+P45*0.4</f>
        <v>14</v>
      </c>
    </row>
    <row r="46" spans="15:17">
      <c r="O46">
        <f>E46*0.35+F46*0.35+G46*0.15+H46*0.15</f>
        <v>0</v>
      </c>
      <c r="P46">
        <f>I46*0.3+J46*0.2+(100-K46)*0.2+N46*0.15+(100-L46)*0.1+(100-M46)*0.05</f>
        <v>35</v>
      </c>
      <c r="Q46">
        <f>O46*0.6+P46*0.4</f>
        <v>14</v>
      </c>
    </row>
    <row r="47" spans="15:17">
      <c r="O47">
        <f>E47*0.35+F47*0.35+G47*0.15+H47*0.15</f>
        <v>0</v>
      </c>
      <c r="P47">
        <f>I47*0.3+J47*0.2+(100-K47)*0.2+N47*0.15+(100-L47)*0.1+(100-M47)*0.05</f>
        <v>35</v>
      </c>
      <c r="Q47">
        <f>O47*0.6+P47*0.4</f>
        <v>14</v>
      </c>
    </row>
    <row r="48" spans="15:17">
      <c r="O48">
        <f>E48*0.35+F48*0.35+G48*0.15+H48*0.15</f>
        <v>0</v>
      </c>
      <c r="P48">
        <f>I48*0.3+J48*0.2+(100-K48)*0.2+N48*0.15+(100-L48)*0.1+(100-M48)*0.05</f>
        <v>35</v>
      </c>
      <c r="Q48">
        <f>O48*0.6+P48*0.4</f>
        <v>14</v>
      </c>
    </row>
    <row r="49" spans="15:17">
      <c r="O49">
        <f>E49*0.35+F49*0.35+G49*0.15+H49*0.15</f>
        <v>0</v>
      </c>
      <c r="P49">
        <f>I49*0.3+J49*0.2+(100-K49)*0.2+N49*0.15+(100-L49)*0.1+(100-M49)*0.05</f>
        <v>35</v>
      </c>
      <c r="Q49">
        <f>O49*0.6+P49*0.4</f>
        <v>14</v>
      </c>
    </row>
    <row r="50" spans="15:17">
      <c r="O50">
        <f>E50*0.35+F50*0.35+G50*0.15+H50*0.15</f>
        <v>0</v>
      </c>
      <c r="P50">
        <f>I50*0.3+J50*0.2+(100-K50)*0.2+N50*0.15+(100-L50)*0.1+(100-M50)*0.05</f>
        <v>35</v>
      </c>
      <c r="Q50">
        <f>O50*0.6+P50*0.4</f>
        <v>14</v>
      </c>
    </row>
    <row r="51" spans="15:17">
      <c r="O51">
        <f>E51*0.35+F51*0.35+G51*0.15+H51*0.15</f>
        <v>0</v>
      </c>
      <c r="P51">
        <f>I51*0.3+J51*0.2+(100-K51)*0.2+N51*0.15+(100-L51)*0.1+(100-M51)*0.05</f>
        <v>35</v>
      </c>
      <c r="Q51">
        <f>O51*0.6+P51*0.4</f>
        <v>14</v>
      </c>
    </row>
    <row r="52" spans="15:17">
      <c r="O52">
        <f>E52*0.35+F52*0.35+G52*0.15+H52*0.15</f>
        <v>0</v>
      </c>
      <c r="P52">
        <f>I52*0.3+J52*0.2+(100-K52)*0.2+N52*0.15+(100-L52)*0.1+(100-M52)*0.05</f>
        <v>35</v>
      </c>
      <c r="Q52">
        <f>O52*0.6+P52*0.4</f>
        <v>14</v>
      </c>
    </row>
    <row r="53" spans="15:17">
      <c r="O53">
        <f>E53*0.35+F53*0.35+G53*0.15+H53*0.15</f>
        <v>0</v>
      </c>
      <c r="P53">
        <f>I53*0.3+J53*0.2+(100-K53)*0.2+N53*0.15+(100-L53)*0.1+(100-M53)*0.05</f>
        <v>35</v>
      </c>
      <c r="Q53">
        <f>O53*0.6+P53*0.4</f>
        <v>14</v>
      </c>
    </row>
    <row r="54" spans="15:17">
      <c r="O54">
        <f>E54*0.35+F54*0.35+G54*0.15+H54*0.15</f>
        <v>0</v>
      </c>
      <c r="P54">
        <f>I54*0.3+J54*0.2+(100-K54)*0.2+N54*0.15+(100-L54)*0.1+(100-M54)*0.05</f>
        <v>35</v>
      </c>
      <c r="Q54">
        <f>O54*0.6+P54*0.4</f>
        <v>14</v>
      </c>
    </row>
    <row r="55" spans="15:17">
      <c r="O55">
        <f>E55*0.35+F55*0.35+G55*0.15+H55*0.15</f>
        <v>0</v>
      </c>
      <c r="P55">
        <f>I55*0.3+J55*0.2+(100-K55)*0.2+N55*0.15+(100-L55)*0.1+(100-M55)*0.05</f>
        <v>35</v>
      </c>
      <c r="Q55">
        <f>O55*0.6+P55*0.4</f>
        <v>14</v>
      </c>
    </row>
    <row r="56" spans="15:17">
      <c r="O56">
        <f>E56*0.35+F56*0.35+G56*0.15+H56*0.15</f>
        <v>0</v>
      </c>
      <c r="P56">
        <f>I56*0.3+J56*0.2+(100-K56)*0.2+N56*0.15+(100-L56)*0.1+(100-M56)*0.05</f>
        <v>35</v>
      </c>
      <c r="Q56">
        <f>O56*0.6+P56*0.4</f>
        <v>14</v>
      </c>
    </row>
    <row r="57" spans="15:17">
      <c r="O57">
        <f>E57*0.35+F57*0.35+G57*0.15+H57*0.15</f>
        <v>0</v>
      </c>
      <c r="P57">
        <f>I57*0.3+J57*0.2+(100-K57)*0.2+N57*0.15+(100-L57)*0.1+(100-M57)*0.05</f>
        <v>35</v>
      </c>
      <c r="Q57">
        <f>O57*0.6+P57*0.4</f>
        <v>14</v>
      </c>
    </row>
    <row r="58" spans="15:17">
      <c r="O58">
        <f>E58*0.35+F58*0.35+G58*0.15+H58*0.15</f>
        <v>0</v>
      </c>
      <c r="P58">
        <f>I58*0.3+J58*0.2+(100-K58)*0.2+N58*0.15+(100-L58)*0.1+(100-M58)*0.05</f>
        <v>35</v>
      </c>
      <c r="Q58">
        <f>O58*0.6+P58*0.4</f>
        <v>14</v>
      </c>
    </row>
    <row r="59" spans="15:17">
      <c r="O59">
        <f>E59*0.35+F59*0.35+G59*0.15+H59*0.15</f>
        <v>0</v>
      </c>
      <c r="P59">
        <f>I59*0.3+J59*0.2+(100-K59)*0.2+N59*0.15+(100-L59)*0.1+(100-M59)*0.05</f>
        <v>35</v>
      </c>
      <c r="Q59">
        <f>O59*0.6+P59*0.4</f>
        <v>14</v>
      </c>
    </row>
    <row r="60" spans="15:17">
      <c r="O60">
        <f>E60*0.35+F60*0.35+G60*0.15+H60*0.15</f>
        <v>0</v>
      </c>
      <c r="P60">
        <f>I60*0.3+J60*0.2+(100-K60)*0.2+N60*0.15+(100-L60)*0.1+(100-M60)*0.05</f>
        <v>35</v>
      </c>
      <c r="Q60">
        <f>O60*0.6+P60*0.4</f>
        <v>14</v>
      </c>
    </row>
    <row r="61" spans="15:17">
      <c r="O61">
        <f>E61*0.35+F61*0.35+G61*0.15+H61*0.15</f>
        <v>0</v>
      </c>
      <c r="P61">
        <f>I61*0.3+J61*0.2+(100-K61)*0.2+N61*0.15+(100-L61)*0.1+(100-M61)*0.05</f>
        <v>35</v>
      </c>
      <c r="Q61">
        <f>O61*0.6+P61*0.4</f>
        <v>14</v>
      </c>
    </row>
    <row r="62" spans="15:17">
      <c r="O62">
        <f>E62*0.35+F62*0.35+G62*0.15+H62*0.15</f>
        <v>0</v>
      </c>
      <c r="P62">
        <f>I62*0.3+J62*0.2+(100-K62)*0.2+N62*0.15+(100-L62)*0.1+(100-M62)*0.05</f>
        <v>35</v>
      </c>
      <c r="Q62">
        <f>O62*0.6+P62*0.4</f>
        <v>14</v>
      </c>
    </row>
    <row r="63" spans="15:17">
      <c r="O63">
        <f>E63*0.35+F63*0.35+G63*0.15+H63*0.15</f>
        <v>0</v>
      </c>
      <c r="P63">
        <f>I63*0.3+J63*0.2+(100-K63)*0.2+N63*0.15+(100-L63)*0.1+(100-M63)*0.05</f>
        <v>35</v>
      </c>
      <c r="Q63">
        <f>O63*0.6+P63*0.4</f>
        <v>14</v>
      </c>
    </row>
    <row r="64" spans="15:17">
      <c r="O64">
        <f>E64*0.35+F64*0.35+G64*0.15+H64*0.15</f>
        <v>0</v>
      </c>
      <c r="P64">
        <f>I64*0.3+J64*0.2+(100-K64)*0.2+N64*0.15+(100-L64)*0.1+(100-M64)*0.05</f>
        <v>35</v>
      </c>
      <c r="Q64">
        <f>O64*0.6+P64*0.4</f>
        <v>14</v>
      </c>
    </row>
    <row r="65" spans="15:17">
      <c r="O65">
        <f>E65*0.35+F65*0.35+G65*0.15+H65*0.15</f>
        <v>0</v>
      </c>
      <c r="P65">
        <f>I65*0.3+J65*0.2+(100-K65)*0.2+N65*0.15+(100-L65)*0.1+(100-M65)*0.05</f>
        <v>35</v>
      </c>
      <c r="Q65">
        <f>O65*0.6+P65*0.4</f>
        <v>14</v>
      </c>
    </row>
    <row r="66" spans="15:17">
      <c r="O66">
        <f>E66*0.35+F66*0.35+G66*0.15+H66*0.15</f>
        <v>0</v>
      </c>
      <c r="P66">
        <f>I66*0.3+J66*0.2+(100-K66)*0.2+N66*0.15+(100-L66)*0.1+(100-M66)*0.05</f>
        <v>35</v>
      </c>
      <c r="Q66">
        <f>O66*0.6+P66*0.4</f>
        <v>14</v>
      </c>
    </row>
    <row r="67" spans="15:17">
      <c r="O67">
        <f>E67*0.35+F67*0.35+G67*0.15+H67*0.15</f>
        <v>0</v>
      </c>
      <c r="P67">
        <f>I67*0.3+J67*0.2+(100-K67)*0.2+N67*0.15+(100-L67)*0.1+(100-M67)*0.05</f>
        <v>35</v>
      </c>
      <c r="Q67">
        <f>O67*0.6+P67*0.4</f>
        <v>14</v>
      </c>
    </row>
    <row r="68" spans="15:17">
      <c r="O68">
        <f>E68*0.35+F68*0.35+G68*0.15+H68*0.15</f>
        <v>0</v>
      </c>
      <c r="P68">
        <f>I68*0.3+J68*0.2+(100-K68)*0.2+N68*0.15+(100-L68)*0.1+(100-M68)*0.05</f>
        <v>35</v>
      </c>
      <c r="Q68">
        <f>O68*0.6+P68*0.4</f>
        <v>14</v>
      </c>
    </row>
    <row r="69" spans="15:17">
      <c r="O69">
        <f>E69*0.35+F69*0.35+G69*0.15+H69*0.15</f>
        <v>0</v>
      </c>
      <c r="P69">
        <f>I69*0.3+J69*0.2+(100-K69)*0.2+N69*0.15+(100-L69)*0.1+(100-M69)*0.05</f>
        <v>35</v>
      </c>
      <c r="Q69">
        <f>O69*0.6+P69*0.4</f>
        <v>14</v>
      </c>
    </row>
    <row r="70" spans="15:17">
      <c r="O70">
        <f>E70*0.35+F70*0.35+G70*0.15+H70*0.15</f>
        <v>0</v>
      </c>
      <c r="P70">
        <f>I70*0.3+J70*0.2+(100-K70)*0.2+N70*0.15+(100-L70)*0.1+(100-M70)*0.05</f>
        <v>35</v>
      </c>
      <c r="Q70">
        <f>O70*0.6+P70*0.4</f>
        <v>14</v>
      </c>
    </row>
    <row r="71" spans="15:17">
      <c r="O71">
        <f>E71*0.35+F71*0.35+G71*0.15+H71*0.15</f>
        <v>0</v>
      </c>
      <c r="P71">
        <f>I71*0.3+J71*0.2+(100-K71)*0.2+N71*0.15+(100-L71)*0.1+(100-M71)*0.05</f>
        <v>35</v>
      </c>
      <c r="Q71">
        <f>O71*0.6+P71*0.4</f>
        <v>14</v>
      </c>
    </row>
    <row r="72" spans="15:17">
      <c r="O72">
        <f>E72*0.35+F72*0.35+G72*0.15+H72*0.15</f>
        <v>0</v>
      </c>
      <c r="P72">
        <f>I72*0.3+J72*0.2+(100-K72)*0.2+N72*0.15+(100-L72)*0.1+(100-M72)*0.05</f>
        <v>35</v>
      </c>
      <c r="Q72">
        <f>O72*0.6+P72*0.4</f>
        <v>14</v>
      </c>
    </row>
    <row r="73" spans="15:17">
      <c r="O73">
        <f>E73*0.35+F73*0.35+G73*0.15+H73*0.15</f>
        <v>0</v>
      </c>
      <c r="P73">
        <f>I73*0.3+J73*0.2+(100-K73)*0.2+N73*0.15+(100-L73)*0.1+(100-M73)*0.05</f>
        <v>35</v>
      </c>
      <c r="Q73">
        <f>O73*0.6+P73*0.4</f>
        <v>14</v>
      </c>
    </row>
    <row r="74" spans="15:17">
      <c r="O74">
        <f>E74*0.35+F74*0.35+G74*0.15+H74*0.15</f>
        <v>0</v>
      </c>
      <c r="P74">
        <f>I74*0.3+J74*0.2+(100-K74)*0.2+N74*0.15+(100-L74)*0.1+(100-M74)*0.05</f>
        <v>35</v>
      </c>
      <c r="Q74">
        <f>O74*0.6+P74*0.4</f>
        <v>14</v>
      </c>
    </row>
    <row r="75" spans="15:17">
      <c r="O75">
        <f>E75*0.35+F75*0.35+G75*0.15+H75*0.15</f>
        <v>0</v>
      </c>
      <c r="P75">
        <f>I75*0.3+J75*0.2+(100-K75)*0.2+N75*0.15+(100-L75)*0.1+(100-M75)*0.05</f>
        <v>35</v>
      </c>
      <c r="Q75">
        <f>O75*0.6+P75*0.4</f>
        <v>14</v>
      </c>
    </row>
    <row r="76" spans="15:17">
      <c r="O76">
        <f>E76*0.35+F76*0.35+G76*0.15+H76*0.15</f>
        <v>0</v>
      </c>
      <c r="P76">
        <f>I76*0.3+J76*0.2+(100-K76)*0.2+N76*0.15+(100-L76)*0.1+(100-M76)*0.05</f>
        <v>35</v>
      </c>
      <c r="Q76">
        <f>O76*0.6+P76*0.4</f>
        <v>14</v>
      </c>
    </row>
    <row r="77" spans="15:17">
      <c r="O77">
        <f>E77*0.35+F77*0.35+G77*0.15+H77*0.15</f>
        <v>0</v>
      </c>
      <c r="P77">
        <f>I77*0.3+J77*0.2+(100-K77)*0.2+N77*0.15+(100-L77)*0.1+(100-M77)*0.05</f>
        <v>35</v>
      </c>
      <c r="Q77">
        <f>O77*0.6+P77*0.4</f>
        <v>14</v>
      </c>
    </row>
    <row r="78" spans="15:17">
      <c r="O78">
        <f>E78*0.35+F78*0.35+G78*0.15+H78*0.15</f>
        <v>0</v>
      </c>
      <c r="P78">
        <f>I78*0.3+J78*0.2+(100-K78)*0.2+N78*0.15+(100-L78)*0.1+(100-M78)*0.05</f>
        <v>35</v>
      </c>
      <c r="Q78">
        <f>O78*0.6+P78*0.4</f>
        <v>14</v>
      </c>
    </row>
    <row r="79" spans="15:17">
      <c r="O79">
        <f>E79*0.35+F79*0.35+G79*0.15+H79*0.15</f>
        <v>0</v>
      </c>
      <c r="P79">
        <f>I79*0.3+J79*0.2+(100-K79)*0.2+N79*0.15+(100-L79)*0.1+(100-M79)*0.05</f>
        <v>35</v>
      </c>
      <c r="Q79">
        <f>O79*0.6+P79*0.4</f>
        <v>14</v>
      </c>
    </row>
    <row r="80" spans="15:17">
      <c r="O80">
        <f>E80*0.35+F80*0.35+G80*0.15+H80*0.15</f>
        <v>0</v>
      </c>
      <c r="P80">
        <f>I80*0.3+J80*0.2+(100-K80)*0.2+N80*0.15+(100-L80)*0.1+(100-M80)*0.05</f>
        <v>35</v>
      </c>
      <c r="Q80">
        <f>O80*0.6+P80*0.4</f>
        <v>14</v>
      </c>
    </row>
    <row r="81" spans="15:17">
      <c r="O81">
        <f>E81*0.35+F81*0.35+G81*0.15+H81*0.15</f>
        <v>0</v>
      </c>
      <c r="P81">
        <f>I81*0.3+J81*0.2+(100-K81)*0.2+N81*0.15+(100-L81)*0.1+(100-M81)*0.05</f>
        <v>35</v>
      </c>
      <c r="Q81">
        <f>O81*0.6+P81*0.4</f>
        <v>14</v>
      </c>
    </row>
    <row r="82" spans="15:17">
      <c r="O82">
        <f>E82*0.35+F82*0.35+G82*0.15+H82*0.15</f>
        <v>0</v>
      </c>
      <c r="P82">
        <f>I82*0.3+J82*0.2+(100-K82)*0.2+N82*0.15+(100-L82)*0.1+(100-M82)*0.05</f>
        <v>35</v>
      </c>
      <c r="Q82">
        <f>O82*0.6+P82*0.4</f>
        <v>14</v>
      </c>
    </row>
    <row r="83" spans="15:17">
      <c r="O83">
        <f>E83*0.35+F83*0.35+G83*0.15+H83*0.15</f>
        <v>0</v>
      </c>
      <c r="P83">
        <f>I83*0.3+J83*0.2+(100-K83)*0.2+N83*0.15+(100-L83)*0.1+(100-M83)*0.05</f>
        <v>35</v>
      </c>
      <c r="Q83">
        <f>O83*0.6+P83*0.4</f>
        <v>14</v>
      </c>
    </row>
    <row r="84" spans="15:17">
      <c r="O84">
        <f>E84*0.35+F84*0.35+G84*0.15+H84*0.15</f>
        <v>0</v>
      </c>
      <c r="P84">
        <f>I84*0.3+J84*0.2+(100-K84)*0.2+N84*0.15+(100-L84)*0.1+(100-M84)*0.05</f>
        <v>35</v>
      </c>
      <c r="Q84">
        <f>O84*0.6+P84*0.4</f>
        <v>14</v>
      </c>
    </row>
    <row r="85" spans="15:17">
      <c r="O85">
        <f>E85*0.35+F85*0.35+G85*0.15+H85*0.15</f>
        <v>0</v>
      </c>
      <c r="P85">
        <f>I85*0.3+J85*0.2+(100-K85)*0.2+N85*0.15+(100-L85)*0.1+(100-M85)*0.05</f>
        <v>35</v>
      </c>
      <c r="Q85">
        <f>O85*0.6+P85*0.4</f>
        <v>14</v>
      </c>
    </row>
    <row r="86" spans="15:17">
      <c r="O86">
        <f>E86*0.35+F86*0.35+G86*0.15+H86*0.15</f>
        <v>0</v>
      </c>
      <c r="P86">
        <f>I86*0.3+J86*0.2+(100-K86)*0.2+N86*0.15+(100-L86)*0.1+(100-M86)*0.05</f>
        <v>35</v>
      </c>
      <c r="Q86">
        <f>O86*0.6+P86*0.4</f>
        <v>14</v>
      </c>
    </row>
    <row r="87" spans="15:17">
      <c r="O87">
        <f>E87*0.35+F87*0.35+G87*0.15+H87*0.15</f>
        <v>0</v>
      </c>
      <c r="P87">
        <f>I87*0.3+J87*0.2+(100-K87)*0.2+N87*0.15+(100-L87)*0.1+(100-M87)*0.05</f>
        <v>35</v>
      </c>
      <c r="Q87">
        <f>O87*0.6+P87*0.4</f>
        <v>14</v>
      </c>
    </row>
    <row r="88" spans="15:17">
      <c r="O88">
        <f>E88*0.35+F88*0.35+G88*0.15+H88*0.15</f>
        <v>0</v>
      </c>
      <c r="P88">
        <f>I88*0.3+J88*0.2+(100-K88)*0.2+N88*0.15+(100-L88)*0.1+(100-M88)*0.05</f>
        <v>35</v>
      </c>
      <c r="Q88">
        <f>O88*0.6+P88*0.4</f>
        <v>14</v>
      </c>
    </row>
    <row r="89" spans="15:17">
      <c r="O89">
        <f>E89*0.35+F89*0.35+G89*0.15+H89*0.15</f>
        <v>0</v>
      </c>
      <c r="P89">
        <f>I89*0.3+J89*0.2+(100-K89)*0.2+N89*0.15+(100-L89)*0.1+(100-M89)*0.05</f>
        <v>35</v>
      </c>
      <c r="Q89">
        <f>O89*0.6+P89*0.4</f>
        <v>14</v>
      </c>
    </row>
    <row r="90" spans="15:17">
      <c r="O90">
        <f>E90*0.35+F90*0.35+G90*0.15+H90*0.15</f>
        <v>0</v>
      </c>
      <c r="P90">
        <f>I90*0.3+J90*0.2+(100-K90)*0.2+N90*0.15+(100-L90)*0.1+(100-M90)*0.05</f>
        <v>35</v>
      </c>
      <c r="Q90">
        <f>O90*0.6+P90*0.4</f>
        <v>14</v>
      </c>
    </row>
    <row r="91" spans="15:17">
      <c r="O91">
        <f>E91*0.35+F91*0.35+G91*0.15+H91*0.15</f>
        <v>0</v>
      </c>
      <c r="P91">
        <f>I91*0.3+J91*0.2+(100-K91)*0.2+N91*0.15+(100-L91)*0.1+(100-M91)*0.05</f>
        <v>35</v>
      </c>
      <c r="Q91">
        <f>O91*0.6+P91*0.4</f>
        <v>14</v>
      </c>
    </row>
    <row r="92" spans="15:17">
      <c r="O92">
        <f>E92*0.35+F92*0.35+G92*0.15+H92*0.15</f>
        <v>0</v>
      </c>
      <c r="P92">
        <f>I92*0.3+J92*0.2+(100-K92)*0.2+N92*0.15+(100-L92)*0.1+(100-M92)*0.05</f>
        <v>35</v>
      </c>
      <c r="Q92">
        <f>O92*0.6+P92*0.4</f>
        <v>14</v>
      </c>
    </row>
    <row r="93" spans="15:17">
      <c r="O93">
        <f>E93*0.35+F93*0.35+G93*0.15+H93*0.15</f>
        <v>0</v>
      </c>
      <c r="P93">
        <f>I93*0.3+J93*0.2+(100-K93)*0.2+N93*0.15+(100-L93)*0.1+(100-M93)*0.05</f>
        <v>35</v>
      </c>
      <c r="Q93">
        <f>O93*0.6+P93*0.4</f>
        <v>14</v>
      </c>
    </row>
    <row r="94" spans="15:17">
      <c r="O94">
        <f>E94*0.35+F94*0.35+G94*0.15+H94*0.15</f>
        <v>0</v>
      </c>
      <c r="P94">
        <f>I94*0.3+J94*0.2+(100-K94)*0.2+N94*0.15+(100-L94)*0.1+(100-M94)*0.05</f>
        <v>35</v>
      </c>
      <c r="Q94">
        <f>O94*0.6+P94*0.4</f>
        <v>14</v>
      </c>
    </row>
    <row r="95" spans="15:17">
      <c r="O95">
        <f>E95*0.35+F95*0.35+G95*0.15+H95*0.15</f>
        <v>0</v>
      </c>
      <c r="P95">
        <f>I95*0.3+J95*0.2+(100-K95)*0.2+N95*0.15+(100-L95)*0.1+(100-M95)*0.05</f>
        <v>35</v>
      </c>
      <c r="Q95">
        <f>O95*0.6+P95*0.4</f>
        <v>14</v>
      </c>
    </row>
    <row r="96" spans="15:17">
      <c r="O96">
        <f>E96*0.35+F96*0.35+G96*0.15+H96*0.15</f>
        <v>0</v>
      </c>
      <c r="P96">
        <f>I96*0.3+J96*0.2+(100-K96)*0.2+N96*0.15+(100-L96)*0.1+(100-M96)*0.05</f>
        <v>35</v>
      </c>
      <c r="Q96">
        <f>O96*0.6+P96*0.4</f>
        <v>14</v>
      </c>
    </row>
    <row r="97" spans="15:17">
      <c r="O97">
        <f>E97*0.35+F97*0.35+G97*0.15+H97*0.15</f>
        <v>0</v>
      </c>
      <c r="P97">
        <f>I97*0.3+J97*0.2+(100-K97)*0.2+N97*0.15+(100-L97)*0.1+(100-M97)*0.05</f>
        <v>35</v>
      </c>
      <c r="Q97">
        <f>O97*0.6+P97*0.4</f>
        <v>14</v>
      </c>
    </row>
    <row r="98" spans="15:17">
      <c r="O98">
        <f>E98*0.35+F98*0.35+G98*0.15+H98*0.15</f>
        <v>0</v>
      </c>
      <c r="P98">
        <f>I98*0.3+J98*0.2+(100-K98)*0.2+N98*0.15+(100-L98)*0.1+(100-M98)*0.05</f>
        <v>35</v>
      </c>
      <c r="Q98">
        <f>O98*0.6+P98*0.4</f>
        <v>14</v>
      </c>
    </row>
    <row r="99" spans="15:17">
      <c r="O99">
        <f>E99*0.35+F99*0.35+G99*0.15+H99*0.15</f>
        <v>0</v>
      </c>
      <c r="P99">
        <f>I99*0.3+J99*0.2+(100-K99)*0.2+N99*0.15+(100-L99)*0.1+(100-M99)*0.05</f>
        <v>35</v>
      </c>
      <c r="Q99">
        <f>O99*0.6+P99*0.4</f>
        <v>14</v>
      </c>
    </row>
    <row r="100" spans="15:17">
      <c r="O100">
        <f>E100*0.35+F100*0.35+G100*0.15+H100*0.15</f>
        <v>0</v>
      </c>
      <c r="P100">
        <f>I100*0.3+J100*0.2+(100-K100)*0.2+N100*0.15+(100-L100)*0.1+(100-M100)*0.05</f>
        <v>35</v>
      </c>
      <c r="Q100">
        <f>O100*0.6+P100*0.4</f>
        <v>14</v>
      </c>
    </row>
    <row r="101" spans="15:17">
      <c r="O101">
        <f>E101*0.35+F101*0.35+G101*0.15+H101*0.15</f>
        <v>0</v>
      </c>
      <c r="P101">
        <f>I101*0.3+J101*0.2+(100-K101)*0.2+N101*0.15+(100-L101)*0.1+(100-M101)*0.05</f>
        <v>35</v>
      </c>
      <c r="Q101">
        <f>O101*0.6+P101*0.4</f>
        <v>14</v>
      </c>
    </row>
    <row r="102" spans="15:17">
      <c r="O102">
        <f>E102*0.35+F102*0.35+G102*0.15+H102*0.15</f>
        <v>0</v>
      </c>
      <c r="P102">
        <f>I102*0.3+J102*0.2+(100-K102)*0.2+N102*0.15+(100-L102)*0.1+(100-M102)*0.05</f>
        <v>35</v>
      </c>
      <c r="Q102">
        <f>O102*0.6+P102*0.4</f>
        <v>14</v>
      </c>
    </row>
    <row r="103" spans="15:17">
      <c r="O103">
        <f>E103*0.35+F103*0.35+G103*0.15+H103*0.15</f>
        <v>0</v>
      </c>
      <c r="P103">
        <f>I103*0.3+J103*0.2+(100-K103)*0.2+N103*0.15+(100-L103)*0.1+(100-M103)*0.05</f>
        <v>35</v>
      </c>
      <c r="Q103">
        <f>O103*0.6+P103*0.4</f>
        <v>14</v>
      </c>
    </row>
    <row r="104" spans="15:17">
      <c r="O104">
        <f>E104*0.35+F104*0.35+G104*0.15+H104*0.15</f>
        <v>0</v>
      </c>
      <c r="P104">
        <f>I104*0.3+J104*0.2+(100-K104)*0.2+N104*0.15+(100-L104)*0.1+(100-M104)*0.05</f>
        <v>35</v>
      </c>
      <c r="Q104">
        <f>O104*0.6+P104*0.4</f>
        <v>14</v>
      </c>
    </row>
    <row r="105" spans="15:17">
      <c r="O105">
        <f>E105*0.35+F105*0.35+G105*0.15+H105*0.15</f>
        <v>0</v>
      </c>
      <c r="P105">
        <f>I105*0.3+J105*0.2+(100-K105)*0.2+N105*0.15+(100-L105)*0.1+(100-M105)*0.05</f>
        <v>35</v>
      </c>
      <c r="Q105">
        <f>O105*0.6+P105*0.4</f>
        <v>14</v>
      </c>
    </row>
    <row r="106" spans="15:17">
      <c r="O106">
        <f>E106*0.35+F106*0.35+G106*0.15+H106*0.15</f>
        <v>0</v>
      </c>
      <c r="P106">
        <f>I106*0.3+J106*0.2+(100-K106)*0.2+N106*0.15+(100-L106)*0.1+(100-M106)*0.05</f>
        <v>35</v>
      </c>
      <c r="Q106">
        <f>O106*0.6+P106*0.4</f>
        <v>14</v>
      </c>
    </row>
    <row r="107" spans="15:17">
      <c r="O107">
        <f>E107*0.35+F107*0.35+G107*0.15+H107*0.15</f>
        <v>0</v>
      </c>
      <c r="P107">
        <f>I107*0.3+J107*0.2+(100-K107)*0.2+N107*0.15+(100-L107)*0.1+(100-M107)*0.05</f>
        <v>35</v>
      </c>
      <c r="Q107">
        <f>O107*0.6+P107*0.4</f>
        <v>14</v>
      </c>
    </row>
    <row r="108" spans="15:17">
      <c r="O108">
        <f>E108*0.35+F108*0.35+G108*0.15+H108*0.15</f>
        <v>0</v>
      </c>
      <c r="P108">
        <f>I108*0.3+J108*0.2+(100-K108)*0.2+N108*0.15+(100-L108)*0.1+(100-M108)*0.05</f>
        <v>35</v>
      </c>
      <c r="Q108">
        <f>O108*0.6+P108*0.4</f>
        <v>14</v>
      </c>
    </row>
    <row r="109" spans="15:17">
      <c r="O109">
        <f>E109*0.35+F109*0.35+G109*0.15+H109*0.15</f>
        <v>0</v>
      </c>
      <c r="P109">
        <f>I109*0.3+J109*0.2+(100-K109)*0.2+N109*0.15+(100-L109)*0.1+(100-M109)*0.05</f>
        <v>35</v>
      </c>
      <c r="Q109">
        <f>O109*0.6+P109*0.4</f>
        <v>14</v>
      </c>
    </row>
    <row r="110" spans="15:17">
      <c r="O110">
        <f>E110*0.35+F110*0.35+G110*0.15+H110*0.15</f>
        <v>0</v>
      </c>
      <c r="P110">
        <f>I110*0.3+J110*0.2+(100-K110)*0.2+N110*0.15+(100-L110)*0.1+(100-M110)*0.05</f>
        <v>35</v>
      </c>
      <c r="Q110">
        <f>O110*0.6+P110*0.4</f>
        <v>14</v>
      </c>
    </row>
    <row r="111" spans="15:17">
      <c r="O111">
        <f>E111*0.35+F111*0.35+G111*0.15+H111*0.15</f>
        <v>0</v>
      </c>
      <c r="P111">
        <f>I111*0.3+J111*0.2+(100-K111)*0.2+N111*0.15+(100-L111)*0.1+(100-M111)*0.05</f>
        <v>35</v>
      </c>
      <c r="Q111">
        <f>O111*0.6+P111*0.4</f>
        <v>14</v>
      </c>
    </row>
    <row r="112" spans="15:17">
      <c r="O112">
        <f>E112*0.35+F112*0.35+G112*0.15+H112*0.15</f>
        <v>0</v>
      </c>
      <c r="P112">
        <f>I112*0.3+J112*0.2+(100-K112)*0.2+N112*0.15+(100-L112)*0.1+(100-M112)*0.05</f>
        <v>35</v>
      </c>
      <c r="Q112">
        <f>O112*0.6+P112*0.4</f>
        <v>14</v>
      </c>
    </row>
    <row r="113" spans="15:17">
      <c r="O113">
        <f>E113*0.35+F113*0.35+G113*0.15+H113*0.15</f>
        <v>0</v>
      </c>
      <c r="P113">
        <f>I113*0.3+J113*0.2+(100-K113)*0.2+N113*0.15+(100-L113)*0.1+(100-M113)*0.05</f>
        <v>35</v>
      </c>
      <c r="Q113">
        <f>O113*0.6+P113*0.4</f>
        <v>14</v>
      </c>
    </row>
    <row r="114" spans="15:17">
      <c r="O114">
        <f>E114*0.35+F114*0.35+G114*0.15+H114*0.15</f>
        <v>0</v>
      </c>
      <c r="P114">
        <f>I114*0.3+J114*0.2+(100-K114)*0.2+N114*0.15+(100-L114)*0.1+(100-M114)*0.05</f>
        <v>35</v>
      </c>
      <c r="Q114">
        <f>O114*0.6+P114*0.4</f>
        <v>14</v>
      </c>
    </row>
    <row r="115" spans="15:17">
      <c r="O115">
        <f>E115*0.35+F115*0.35+G115*0.15+H115*0.15</f>
        <v>0</v>
      </c>
      <c r="P115">
        <f>I115*0.3+J115*0.2+(100-K115)*0.2+N115*0.15+(100-L115)*0.1+(100-M115)*0.05</f>
        <v>35</v>
      </c>
      <c r="Q115">
        <f>O115*0.6+P115*0.4</f>
        <v>14</v>
      </c>
    </row>
    <row r="116" spans="15:17">
      <c r="O116">
        <f>E116*0.35+F116*0.35+G116*0.15+H116*0.15</f>
        <v>0</v>
      </c>
      <c r="P116">
        <f>I116*0.3+J116*0.2+(100-K116)*0.2+N116*0.15+(100-L116)*0.1+(100-M116)*0.05</f>
        <v>35</v>
      </c>
      <c r="Q116">
        <f>O116*0.6+P116*0.4</f>
        <v>14</v>
      </c>
    </row>
    <row r="117" spans="15:17">
      <c r="O117">
        <f>E117*0.35+F117*0.35+G117*0.15+H117*0.15</f>
        <v>0</v>
      </c>
      <c r="P117">
        <f>I117*0.3+J117*0.2+(100-K117)*0.2+N117*0.15+(100-L117)*0.1+(100-M117)*0.05</f>
        <v>35</v>
      </c>
      <c r="Q117">
        <f>O117*0.6+P117*0.4</f>
        <v>14</v>
      </c>
    </row>
    <row r="118" spans="15:17">
      <c r="O118">
        <f>E118*0.35+F118*0.35+G118*0.15+H118*0.15</f>
        <v>0</v>
      </c>
      <c r="P118">
        <f>I118*0.3+J118*0.2+(100-K118)*0.2+N118*0.15+(100-L118)*0.1+(100-M118)*0.05</f>
        <v>35</v>
      </c>
      <c r="Q118">
        <f>O118*0.6+P118*0.4</f>
        <v>14</v>
      </c>
    </row>
    <row r="119" spans="15:17">
      <c r="O119">
        <f>E119*0.35+F119*0.35+G119*0.15+H119*0.15</f>
        <v>0</v>
      </c>
      <c r="P119">
        <f>I119*0.3+J119*0.2+(100-K119)*0.2+N119*0.15+(100-L119)*0.1+(100-M119)*0.05</f>
        <v>35</v>
      </c>
      <c r="Q119">
        <f>O119*0.6+P119*0.4</f>
        <v>14</v>
      </c>
    </row>
    <row r="120" spans="15:17">
      <c r="O120">
        <f>E120*0.35+F120*0.35+G120*0.15+H120*0.15</f>
        <v>0</v>
      </c>
      <c r="P120">
        <f>I120*0.3+J120*0.2+(100-K120)*0.2+N120*0.15+(100-L120)*0.1+(100-M120)*0.05</f>
        <v>35</v>
      </c>
      <c r="Q120">
        <f>O120*0.6+P120*0.4</f>
        <v>14</v>
      </c>
    </row>
    <row r="121" spans="15:17">
      <c r="O121">
        <f>E121*0.35+F121*0.35+G121*0.15+H121*0.15</f>
        <v>0</v>
      </c>
      <c r="P121">
        <f>I121*0.3+J121*0.2+(100-K121)*0.2+N121*0.15+(100-L121)*0.1+(100-M121)*0.05</f>
        <v>35</v>
      </c>
      <c r="Q121">
        <f>O121*0.6+P121*0.4</f>
        <v>14</v>
      </c>
    </row>
    <row r="122" spans="15:17">
      <c r="O122">
        <f>E122*0.35+F122*0.35+G122*0.15+H122*0.15</f>
        <v>0</v>
      </c>
      <c r="P122">
        <f>I122*0.3+J122*0.2+(100-K122)*0.2+N122*0.15+(100-L122)*0.1+(100-M122)*0.05</f>
        <v>35</v>
      </c>
      <c r="Q122">
        <f>O122*0.6+P122*0.4</f>
        <v>14</v>
      </c>
    </row>
    <row r="123" spans="15:17">
      <c r="O123">
        <f>E123*0.35+F123*0.35+G123*0.15+H123*0.15</f>
        <v>0</v>
      </c>
      <c r="P123">
        <f>I123*0.3+J123*0.2+(100-K123)*0.2+N123*0.15+(100-L123)*0.1+(100-M123)*0.05</f>
        <v>35</v>
      </c>
      <c r="Q123">
        <f>O123*0.6+P123*0.4</f>
        <v>14</v>
      </c>
    </row>
    <row r="124" spans="15:17">
      <c r="O124">
        <f>E124*0.35+F124*0.35+G124*0.15+H124*0.15</f>
        <v>0</v>
      </c>
      <c r="P124">
        <f>I124*0.3+J124*0.2+(100-K124)*0.2+N124*0.15+(100-L124)*0.1+(100-M124)*0.05</f>
        <v>35</v>
      </c>
      <c r="Q124">
        <f>O124*0.6+P124*0.4</f>
        <v>14</v>
      </c>
    </row>
    <row r="125" spans="15:17">
      <c r="O125">
        <f>E125*0.35+F125*0.35+G125*0.15+H125*0.15</f>
        <v>0</v>
      </c>
      <c r="P125">
        <f>I125*0.3+J125*0.2+(100-K125)*0.2+N125*0.15+(100-L125)*0.1+(100-M125)*0.05</f>
        <v>35</v>
      </c>
      <c r="Q125">
        <f>O125*0.6+P125*0.4</f>
        <v>14</v>
      </c>
    </row>
    <row r="126" spans="15:17">
      <c r="O126">
        <f>E126*0.35+F126*0.35+G126*0.15+H126*0.15</f>
        <v>0</v>
      </c>
      <c r="P126">
        <f>I126*0.3+J126*0.2+(100-K126)*0.2+N126*0.15+(100-L126)*0.1+(100-M126)*0.05</f>
        <v>35</v>
      </c>
      <c r="Q126">
        <f>O126*0.6+P126*0.4</f>
        <v>14</v>
      </c>
    </row>
    <row r="127" spans="15:17">
      <c r="O127">
        <f>E127*0.35+F127*0.35+G127*0.15+H127*0.15</f>
        <v>0</v>
      </c>
      <c r="P127">
        <f>I127*0.3+J127*0.2+(100-K127)*0.2+N127*0.15+(100-L127)*0.1+(100-M127)*0.05</f>
        <v>35</v>
      </c>
      <c r="Q127">
        <f>O127*0.6+P127*0.4</f>
        <v>14</v>
      </c>
    </row>
    <row r="128" spans="15:17">
      <c r="O128">
        <f>E128*0.35+F128*0.35+G128*0.15+H128*0.15</f>
        <v>0</v>
      </c>
      <c r="P128">
        <f>I128*0.3+J128*0.2+(100-K128)*0.2+N128*0.15+(100-L128)*0.1+(100-M128)*0.05</f>
        <v>35</v>
      </c>
      <c r="Q128">
        <f>O128*0.6+P128*0.4</f>
        <v>14</v>
      </c>
    </row>
    <row r="129" spans="15:17">
      <c r="O129">
        <f>E129*0.35+F129*0.35+G129*0.15+H129*0.15</f>
        <v>0</v>
      </c>
      <c r="P129">
        <f>I129*0.3+J129*0.2+(100-K129)*0.2+N129*0.15+(100-L129)*0.1+(100-M129)*0.05</f>
        <v>35</v>
      </c>
      <c r="Q129">
        <f>O129*0.6+P129*0.4</f>
        <v>14</v>
      </c>
    </row>
    <row r="130" spans="15:17">
      <c r="O130">
        <f>E130*0.35+F130*0.35+G130*0.15+H130*0.15</f>
        <v>0</v>
      </c>
      <c r="P130">
        <f>I130*0.3+J130*0.2+(100-K130)*0.2+N130*0.15+(100-L130)*0.1+(100-M130)*0.05</f>
        <v>35</v>
      </c>
      <c r="Q130">
        <f>O130*0.6+P130*0.4</f>
        <v>14</v>
      </c>
    </row>
    <row r="131" spans="15:17">
      <c r="O131">
        <f>E131*0.35+F131*0.35+G131*0.15+H131*0.15</f>
        <v>0</v>
      </c>
      <c r="P131">
        <f>I131*0.3+J131*0.2+(100-K131)*0.2+N131*0.15+(100-L131)*0.1+(100-M131)*0.05</f>
        <v>35</v>
      </c>
      <c r="Q131">
        <f>O131*0.6+P131*0.4</f>
        <v>14</v>
      </c>
    </row>
    <row r="132" spans="15:17">
      <c r="O132">
        <f>E132*0.35+F132*0.35+G132*0.15+H132*0.15</f>
        <v>0</v>
      </c>
      <c r="P132">
        <f>I132*0.3+J132*0.2+(100-K132)*0.2+N132*0.15+(100-L132)*0.1+(100-M132)*0.05</f>
        <v>35</v>
      </c>
      <c r="Q132">
        <f>O132*0.6+P132*0.4</f>
        <v>14</v>
      </c>
    </row>
    <row r="133" spans="15:17">
      <c r="O133">
        <f>E133*0.35+F133*0.35+G133*0.15+H133*0.15</f>
        <v>0</v>
      </c>
      <c r="P133">
        <f>I133*0.3+J133*0.2+(100-K133)*0.2+N133*0.15+(100-L133)*0.1+(100-M133)*0.05</f>
        <v>35</v>
      </c>
      <c r="Q133">
        <f>O133*0.6+P133*0.4</f>
        <v>14</v>
      </c>
    </row>
    <row r="134" spans="15:17">
      <c r="O134">
        <f>E134*0.35+F134*0.35+G134*0.15+H134*0.15</f>
        <v>0</v>
      </c>
      <c r="P134">
        <f>I134*0.3+J134*0.2+(100-K134)*0.2+N134*0.15+(100-L134)*0.1+(100-M134)*0.05</f>
        <v>35</v>
      </c>
      <c r="Q134">
        <f>O134*0.6+P134*0.4</f>
        <v>14</v>
      </c>
    </row>
    <row r="135" spans="15:17">
      <c r="O135">
        <f>E135*0.35+F135*0.35+G135*0.15+H135*0.15</f>
        <v>0</v>
      </c>
      <c r="P135">
        <f>I135*0.3+J135*0.2+(100-K135)*0.2+N135*0.15+(100-L135)*0.1+(100-M135)*0.05</f>
        <v>35</v>
      </c>
      <c r="Q135">
        <f>O135*0.6+P135*0.4</f>
        <v>14</v>
      </c>
    </row>
    <row r="136" spans="15:17">
      <c r="O136">
        <f>E136*0.35+F136*0.35+G136*0.15+H136*0.15</f>
        <v>0</v>
      </c>
      <c r="P136">
        <f>I136*0.3+J136*0.2+(100-K136)*0.2+N136*0.15+(100-L136)*0.1+(100-M136)*0.05</f>
        <v>35</v>
      </c>
      <c r="Q136">
        <f>O136*0.6+P136*0.4</f>
        <v>14</v>
      </c>
    </row>
    <row r="137" spans="15:17">
      <c r="O137">
        <f>E137*0.35+F137*0.35+G137*0.15+H137*0.15</f>
        <v>0</v>
      </c>
      <c r="P137">
        <f>I137*0.3+J137*0.2+(100-K137)*0.2+N137*0.15+(100-L137)*0.1+(100-M137)*0.05</f>
        <v>35</v>
      </c>
      <c r="Q137">
        <f>O137*0.6+P137*0.4</f>
        <v>14</v>
      </c>
    </row>
    <row r="138" spans="15:17">
      <c r="O138">
        <f>E138*0.35+F138*0.35+G138*0.15+H138*0.15</f>
        <v>0</v>
      </c>
      <c r="P138">
        <f>I138*0.3+J138*0.2+(100-K138)*0.2+N138*0.15+(100-L138)*0.1+(100-M138)*0.05</f>
        <v>35</v>
      </c>
      <c r="Q138">
        <f>O138*0.6+P138*0.4</f>
        <v>14</v>
      </c>
    </row>
    <row r="139" spans="15:17">
      <c r="O139">
        <f>E139*0.35+F139*0.35+G139*0.15+H139*0.15</f>
        <v>0</v>
      </c>
      <c r="P139">
        <f>I139*0.3+J139*0.2+(100-K139)*0.2+N139*0.15+(100-L139)*0.1+(100-M139)*0.05</f>
        <v>35</v>
      </c>
      <c r="Q139">
        <f>O139*0.6+P139*0.4</f>
        <v>14</v>
      </c>
    </row>
    <row r="140" spans="15:17">
      <c r="O140">
        <f>E140*0.35+F140*0.35+G140*0.15+H140*0.15</f>
        <v>0</v>
      </c>
      <c r="P140">
        <f>I140*0.3+J140*0.2+(100-K140)*0.2+N140*0.15+(100-L140)*0.1+(100-M140)*0.05</f>
        <v>35</v>
      </c>
      <c r="Q140">
        <f>O140*0.6+P140*0.4</f>
        <v>14</v>
      </c>
    </row>
    <row r="141" spans="15:17">
      <c r="O141">
        <f>E141*0.35+F141*0.35+G141*0.15+H141*0.15</f>
        <v>0</v>
      </c>
      <c r="P141">
        <f>I141*0.3+J141*0.2+(100-K141)*0.2+N141*0.15+(100-L141)*0.1+(100-M141)*0.05</f>
        <v>35</v>
      </c>
      <c r="Q141">
        <f>O141*0.6+P141*0.4</f>
        <v>14</v>
      </c>
    </row>
    <row r="142" spans="15:17">
      <c r="O142">
        <f>E142*0.35+F142*0.35+G142*0.15+H142*0.15</f>
        <v>0</v>
      </c>
      <c r="P142">
        <f>I142*0.3+J142*0.2+(100-K142)*0.2+N142*0.15+(100-L142)*0.1+(100-M142)*0.05</f>
        <v>35</v>
      </c>
      <c r="Q142">
        <f>O142*0.6+P142*0.4</f>
        <v>14</v>
      </c>
    </row>
    <row r="143" spans="15:17">
      <c r="O143">
        <f>E143*0.35+F143*0.35+G143*0.15+H143*0.15</f>
        <v>0</v>
      </c>
      <c r="P143">
        <f>I143*0.3+J143*0.2+(100-K143)*0.2+N143*0.15+(100-L143)*0.1+(100-M143)*0.05</f>
        <v>35</v>
      </c>
      <c r="Q143">
        <f>O143*0.6+P143*0.4</f>
        <v>14</v>
      </c>
    </row>
    <row r="144" spans="15:17">
      <c r="O144">
        <f>E144*0.35+F144*0.35+G144*0.15+H144*0.15</f>
        <v>0</v>
      </c>
      <c r="P144">
        <f>I144*0.3+J144*0.2+(100-K144)*0.2+N144*0.15+(100-L144)*0.1+(100-M144)*0.05</f>
        <v>35</v>
      </c>
      <c r="Q144">
        <f>O144*0.6+P144*0.4</f>
        <v>14</v>
      </c>
    </row>
    <row r="145" spans="15:17">
      <c r="O145">
        <f>E145*0.35+F145*0.35+G145*0.15+H145*0.15</f>
        <v>0</v>
      </c>
      <c r="P145">
        <f>I145*0.3+J145*0.2+(100-K145)*0.2+N145*0.15+(100-L145)*0.1+(100-M145)*0.05</f>
        <v>35</v>
      </c>
      <c r="Q145">
        <f>O145*0.6+P145*0.4</f>
        <v>14</v>
      </c>
    </row>
    <row r="146" spans="15:17">
      <c r="O146">
        <f>E146*0.35+F146*0.35+G146*0.15+H146*0.15</f>
        <v>0</v>
      </c>
      <c r="P146">
        <f>I146*0.3+J146*0.2+(100-K146)*0.2+N146*0.15+(100-L146)*0.1+(100-M146)*0.05</f>
        <v>35</v>
      </c>
      <c r="Q146">
        <f>O146*0.6+P146*0.4</f>
        <v>14</v>
      </c>
    </row>
    <row r="147" spans="15:17">
      <c r="O147">
        <f>E147*0.35+F147*0.35+G147*0.15+H147*0.15</f>
        <v>0</v>
      </c>
      <c r="P147">
        <f>I147*0.3+J147*0.2+(100-K147)*0.2+N147*0.15+(100-L147)*0.1+(100-M147)*0.05</f>
        <v>35</v>
      </c>
      <c r="Q147">
        <f>O147*0.6+P147*0.4</f>
        <v>14</v>
      </c>
    </row>
    <row r="148" spans="15:17">
      <c r="O148">
        <f>E148*0.35+F148*0.35+G148*0.15+H148*0.15</f>
        <v>0</v>
      </c>
      <c r="P148">
        <f>I148*0.3+J148*0.2+(100-K148)*0.2+N148*0.15+(100-L148)*0.1+(100-M148)*0.05</f>
        <v>35</v>
      </c>
      <c r="Q148">
        <f>O148*0.6+P148*0.4</f>
        <v>14</v>
      </c>
    </row>
    <row r="149" spans="15:17">
      <c r="O149">
        <f>E149*0.35+F149*0.35+G149*0.15+H149*0.15</f>
        <v>0</v>
      </c>
      <c r="P149">
        <f>I149*0.3+J149*0.2+(100-K149)*0.2+N149*0.15+(100-L149)*0.1+(100-M149)*0.05</f>
        <v>35</v>
      </c>
      <c r="Q149">
        <f>O149*0.6+P149*0.4</f>
        <v>14</v>
      </c>
    </row>
    <row r="150" spans="15:17">
      <c r="O150">
        <f>E150*0.35+F150*0.35+G150*0.15+H150*0.15</f>
        <v>0</v>
      </c>
      <c r="P150">
        <f>I150*0.3+J150*0.2+(100-K150)*0.2+N150*0.15+(100-L150)*0.1+(100-M150)*0.05</f>
        <v>35</v>
      </c>
      <c r="Q150">
        <f>O150*0.6+P150*0.4</f>
        <v>14</v>
      </c>
    </row>
    <row r="151" spans="15:17">
      <c r="O151">
        <f>E151*0.35+F151*0.35+G151*0.15+H151*0.15</f>
        <v>0</v>
      </c>
      <c r="P151">
        <f>I151*0.3+J151*0.2+(100-K151)*0.2+N151*0.15+(100-L151)*0.1+(100-M151)*0.05</f>
        <v>35</v>
      </c>
      <c r="Q151">
        <f>O151*0.6+P151*0.4</f>
        <v>14</v>
      </c>
    </row>
    <row r="152" spans="15:17">
      <c r="O152">
        <f>E152*0.35+F152*0.35+G152*0.15+H152*0.15</f>
        <v>0</v>
      </c>
      <c r="P152">
        <f>I152*0.3+J152*0.2+(100-K152)*0.2+N152*0.15+(100-L152)*0.1+(100-M152)*0.05</f>
        <v>35</v>
      </c>
      <c r="Q152">
        <f>O152*0.6+P152*0.4</f>
        <v>14</v>
      </c>
    </row>
    <row r="153" spans="15:17">
      <c r="O153">
        <f>E153*0.35+F153*0.35+G153*0.15+H153*0.15</f>
        <v>0</v>
      </c>
      <c r="P153">
        <f>I153*0.3+J153*0.2+(100-K153)*0.2+N153*0.15+(100-L153)*0.1+(100-M153)*0.05</f>
        <v>35</v>
      </c>
      <c r="Q153">
        <f>O153*0.6+P153*0.4</f>
        <v>14</v>
      </c>
    </row>
    <row r="154" spans="15:17">
      <c r="O154">
        <f>E154*0.35+F154*0.35+G154*0.15+H154*0.15</f>
        <v>0</v>
      </c>
      <c r="P154">
        <f>I154*0.3+J154*0.2+(100-K154)*0.2+N154*0.15+(100-L154)*0.1+(100-M154)*0.05</f>
        <v>35</v>
      </c>
      <c r="Q154">
        <f>O154*0.6+P154*0.4</f>
        <v>14</v>
      </c>
    </row>
    <row r="155" spans="15:17">
      <c r="O155">
        <f>E155*0.35+F155*0.35+G155*0.15+H155*0.15</f>
        <v>0</v>
      </c>
      <c r="P155">
        <f>I155*0.3+J155*0.2+(100-K155)*0.2+N155*0.15+(100-L155)*0.1+(100-M155)*0.05</f>
        <v>35</v>
      </c>
      <c r="Q155">
        <f>O155*0.6+P155*0.4</f>
        <v>14</v>
      </c>
    </row>
    <row r="156" spans="15:17">
      <c r="O156">
        <f>E156*0.35+F156*0.35+G156*0.15+H156*0.15</f>
        <v>0</v>
      </c>
      <c r="P156">
        <f>I156*0.3+J156*0.2+(100-K156)*0.2+N156*0.15+(100-L156)*0.1+(100-M156)*0.05</f>
        <v>35</v>
      </c>
      <c r="Q156">
        <f>O156*0.6+P156*0.4</f>
        <v>14</v>
      </c>
    </row>
    <row r="157" spans="15:17">
      <c r="O157">
        <f>E157*0.35+F157*0.35+G157*0.15+H157*0.15</f>
        <v>0</v>
      </c>
      <c r="P157">
        <f>I157*0.3+J157*0.2+(100-K157)*0.2+N157*0.15+(100-L157)*0.1+(100-M157)*0.05</f>
        <v>35</v>
      </c>
      <c r="Q157">
        <f>O157*0.6+P157*0.4</f>
        <v>14</v>
      </c>
    </row>
    <row r="158" spans="15:17">
      <c r="O158">
        <f>E158*0.35+F158*0.35+G158*0.15+H158*0.15</f>
        <v>0</v>
      </c>
      <c r="P158">
        <f>I158*0.3+J158*0.2+(100-K158)*0.2+N158*0.15+(100-L158)*0.1+(100-M158)*0.05</f>
        <v>35</v>
      </c>
      <c r="Q158">
        <f>O158*0.6+P158*0.4</f>
        <v>14</v>
      </c>
    </row>
    <row r="159" spans="15:17">
      <c r="O159">
        <f>E159*0.35+F159*0.35+G159*0.15+H159*0.15</f>
        <v>0</v>
      </c>
      <c r="P159">
        <f>I159*0.3+J159*0.2+(100-K159)*0.2+N159*0.15+(100-L159)*0.1+(100-M159)*0.05</f>
        <v>35</v>
      </c>
      <c r="Q159">
        <f>O159*0.6+P159*0.4</f>
        <v>14</v>
      </c>
    </row>
    <row r="160" spans="15:17">
      <c r="O160">
        <f>E160*0.35+F160*0.35+G160*0.15+H160*0.15</f>
        <v>0</v>
      </c>
      <c r="P160">
        <f>I160*0.3+J160*0.2+(100-K160)*0.2+N160*0.15+(100-L160)*0.1+(100-M160)*0.05</f>
        <v>35</v>
      </c>
      <c r="Q160">
        <f>O160*0.6+P160*0.4</f>
        <v>14</v>
      </c>
    </row>
    <row r="161" spans="15:17">
      <c r="O161">
        <f>E161*0.35+F161*0.35+G161*0.15+H161*0.15</f>
        <v>0</v>
      </c>
      <c r="P161">
        <f>I161*0.3+J161*0.2+(100-K161)*0.2+N161*0.15+(100-L161)*0.1+(100-M161)*0.05</f>
        <v>35</v>
      </c>
      <c r="Q161">
        <f>O161*0.6+P161*0.4</f>
        <v>14</v>
      </c>
    </row>
    <row r="162" spans="15:17">
      <c r="O162">
        <f>E162*0.35+F162*0.35+G162*0.15+H162*0.15</f>
        <v>0</v>
      </c>
      <c r="P162">
        <f>I162*0.3+J162*0.2+(100-K162)*0.2+N162*0.15+(100-L162)*0.1+(100-M162)*0.05</f>
        <v>35</v>
      </c>
      <c r="Q162">
        <f>O162*0.6+P162*0.4</f>
        <v>14</v>
      </c>
    </row>
    <row r="163" spans="15:17">
      <c r="O163">
        <f>E163*0.35+F163*0.35+G163*0.15+H163*0.15</f>
        <v>0</v>
      </c>
      <c r="P163">
        <f>I163*0.3+J163*0.2+(100-K163)*0.2+N163*0.15+(100-L163)*0.1+(100-M163)*0.05</f>
        <v>35</v>
      </c>
      <c r="Q163">
        <f>O163*0.6+P163*0.4</f>
        <v>14</v>
      </c>
    </row>
    <row r="164" spans="15:17">
      <c r="O164">
        <f>E164*0.35+F164*0.35+G164*0.15+H164*0.15</f>
        <v>0</v>
      </c>
      <c r="P164">
        <f>I164*0.3+J164*0.2+(100-K164)*0.2+N164*0.15+(100-L164)*0.1+(100-M164)*0.05</f>
        <v>35</v>
      </c>
      <c r="Q164">
        <f>O164*0.6+P164*0.4</f>
        <v>14</v>
      </c>
    </row>
    <row r="165" spans="15:17">
      <c r="O165">
        <f>E165*0.35+F165*0.35+G165*0.15+H165*0.15</f>
        <v>0</v>
      </c>
      <c r="P165">
        <f>I165*0.3+J165*0.2+(100-K165)*0.2+N165*0.15+(100-L165)*0.1+(100-M165)*0.05</f>
        <v>35</v>
      </c>
      <c r="Q165">
        <f>O165*0.6+P165*0.4</f>
        <v>14</v>
      </c>
    </row>
    <row r="166" spans="15:17">
      <c r="O166">
        <f>E166*0.35+F166*0.35+G166*0.15+H166*0.15</f>
        <v>0</v>
      </c>
      <c r="P166">
        <f>I166*0.3+J166*0.2+(100-K166)*0.2+N166*0.15+(100-L166)*0.1+(100-M166)*0.05</f>
        <v>35</v>
      </c>
      <c r="Q166">
        <f>O166*0.6+P166*0.4</f>
        <v>14</v>
      </c>
    </row>
    <row r="167" spans="15:17">
      <c r="O167">
        <f>E167*0.35+F167*0.35+G167*0.15+H167*0.15</f>
        <v>0</v>
      </c>
      <c r="P167">
        <f>I167*0.3+J167*0.2+(100-K167)*0.2+N167*0.15+(100-L167)*0.1+(100-M167)*0.05</f>
        <v>35</v>
      </c>
      <c r="Q167">
        <f>O167*0.6+P167*0.4</f>
        <v>14</v>
      </c>
    </row>
    <row r="168" spans="15:17">
      <c r="O168">
        <f>E168*0.35+F168*0.35+G168*0.15+H168*0.15</f>
        <v>0</v>
      </c>
      <c r="P168">
        <f>I168*0.3+J168*0.2+(100-K168)*0.2+N168*0.15+(100-L168)*0.1+(100-M168)*0.05</f>
        <v>35</v>
      </c>
      <c r="Q168">
        <f>O168*0.6+P168*0.4</f>
        <v>14</v>
      </c>
    </row>
    <row r="169" spans="15:17">
      <c r="O169">
        <f>E169*0.35+F169*0.35+G169*0.15+H169*0.15</f>
        <v>0</v>
      </c>
      <c r="P169">
        <f>I169*0.3+J169*0.2+(100-K169)*0.2+N169*0.15+(100-L169)*0.1+(100-M169)*0.05</f>
        <v>35</v>
      </c>
      <c r="Q169">
        <f>O169*0.6+P169*0.4</f>
        <v>14</v>
      </c>
    </row>
    <row r="170" spans="15:17">
      <c r="O170">
        <f>E170*0.35+F170*0.35+G170*0.15+H170*0.15</f>
        <v>0</v>
      </c>
      <c r="P170">
        <f>I170*0.3+J170*0.2+(100-K170)*0.2+N170*0.15+(100-L170)*0.1+(100-M170)*0.05</f>
        <v>35</v>
      </c>
      <c r="Q170">
        <f>O170*0.6+P170*0.4</f>
        <v>14</v>
      </c>
    </row>
    <row r="171" spans="15:17">
      <c r="O171">
        <f>E171*0.35+F171*0.35+G171*0.15+H171*0.15</f>
        <v>0</v>
      </c>
      <c r="P171">
        <f>I171*0.3+J171*0.2+(100-K171)*0.2+N171*0.15+(100-L171)*0.1+(100-M171)*0.05</f>
        <v>35</v>
      </c>
      <c r="Q171">
        <f>O171*0.6+P171*0.4</f>
        <v>14</v>
      </c>
    </row>
    <row r="172" spans="15:17">
      <c r="O172">
        <f>E172*0.35+F172*0.35+G172*0.15+H172*0.15</f>
        <v>0</v>
      </c>
      <c r="P172">
        <f>I172*0.3+J172*0.2+(100-K172)*0.2+N172*0.15+(100-L172)*0.1+(100-M172)*0.05</f>
        <v>35</v>
      </c>
      <c r="Q172">
        <f>O172*0.6+P172*0.4</f>
        <v>14</v>
      </c>
    </row>
    <row r="173" spans="15:17">
      <c r="O173">
        <f>E173*0.35+F173*0.35+G173*0.15+H173*0.15</f>
        <v>0</v>
      </c>
      <c r="P173">
        <f>I173*0.3+J173*0.2+(100-K173)*0.2+N173*0.15+(100-L173)*0.1+(100-M173)*0.05</f>
        <v>35</v>
      </c>
      <c r="Q173">
        <f>O173*0.6+P173*0.4</f>
        <v>14</v>
      </c>
    </row>
    <row r="174" spans="15:17">
      <c r="O174">
        <f>E174*0.35+F174*0.35+G174*0.15+H174*0.15</f>
        <v>0</v>
      </c>
      <c r="P174">
        <f>I174*0.3+J174*0.2+(100-K174)*0.2+N174*0.15+(100-L174)*0.1+(100-M174)*0.05</f>
        <v>35</v>
      </c>
      <c r="Q174">
        <f>O174*0.6+P174*0.4</f>
        <v>14</v>
      </c>
    </row>
    <row r="175" spans="15:17">
      <c r="O175">
        <f>E175*0.35+F175*0.35+G175*0.15+H175*0.15</f>
        <v>0</v>
      </c>
      <c r="P175">
        <f>I175*0.3+J175*0.2+(100-K175)*0.2+N175*0.15+(100-L175)*0.1+(100-M175)*0.05</f>
        <v>35</v>
      </c>
      <c r="Q175">
        <f>O175*0.6+P175*0.4</f>
        <v>14</v>
      </c>
    </row>
    <row r="176" spans="15:17">
      <c r="O176">
        <f>E176*0.35+F176*0.35+G176*0.15+H176*0.15</f>
        <v>0</v>
      </c>
      <c r="P176">
        <f>I176*0.3+J176*0.2+(100-K176)*0.2+N176*0.15+(100-L176)*0.1+(100-M176)*0.05</f>
        <v>35</v>
      </c>
      <c r="Q176">
        <f>O176*0.6+P176*0.4</f>
        <v>14</v>
      </c>
    </row>
    <row r="177" spans="15:17">
      <c r="O177">
        <f>E177*0.35+F177*0.35+G177*0.15+H177*0.15</f>
        <v>0</v>
      </c>
      <c r="P177">
        <f>I177*0.3+J177*0.2+(100-K177)*0.2+N177*0.15+(100-L177)*0.1+(100-M177)*0.05</f>
        <v>35</v>
      </c>
      <c r="Q177">
        <f>O177*0.6+P177*0.4</f>
        <v>14</v>
      </c>
    </row>
    <row r="178" spans="15:17">
      <c r="O178">
        <f>E178*0.35+F178*0.35+G178*0.15+H178*0.15</f>
        <v>0</v>
      </c>
      <c r="P178">
        <f>I178*0.3+J178*0.2+(100-K178)*0.2+N178*0.15+(100-L178)*0.1+(100-M178)*0.05</f>
        <v>35</v>
      </c>
      <c r="Q178">
        <f>O178*0.6+P178*0.4</f>
        <v>14</v>
      </c>
    </row>
    <row r="179" spans="15:17">
      <c r="O179">
        <f>E179*0.35+F179*0.35+G179*0.15+H179*0.15</f>
        <v>0</v>
      </c>
      <c r="P179">
        <f>I179*0.3+J179*0.2+(100-K179)*0.2+N179*0.15+(100-L179)*0.1+(100-M179)*0.05</f>
        <v>35</v>
      </c>
      <c r="Q179">
        <f>O179*0.6+P179*0.4</f>
        <v>14</v>
      </c>
    </row>
    <row r="180" spans="15:17">
      <c r="O180">
        <f>E180*0.35+F180*0.35+G180*0.15+H180*0.15</f>
        <v>0</v>
      </c>
      <c r="P180">
        <f>I180*0.3+J180*0.2+(100-K180)*0.2+N180*0.15+(100-L180)*0.1+(100-M180)*0.05</f>
        <v>35</v>
      </c>
      <c r="Q180">
        <f>O180*0.6+P180*0.4</f>
        <v>14</v>
      </c>
    </row>
    <row r="181" spans="15:17">
      <c r="O181">
        <f>E181*0.35+F181*0.35+G181*0.15+H181*0.15</f>
        <v>0</v>
      </c>
      <c r="P181">
        <f>I181*0.3+J181*0.2+(100-K181)*0.2+N181*0.15+(100-L181)*0.1+(100-M181)*0.05</f>
        <v>35</v>
      </c>
      <c r="Q181">
        <f>O181*0.6+P181*0.4</f>
        <v>14</v>
      </c>
    </row>
    <row r="182" spans="15:17">
      <c r="O182">
        <f>E182*0.35+F182*0.35+G182*0.15+H182*0.15</f>
        <v>0</v>
      </c>
      <c r="P182">
        <f>I182*0.3+J182*0.2+(100-K182)*0.2+N182*0.15+(100-L182)*0.1+(100-M182)*0.05</f>
        <v>35</v>
      </c>
      <c r="Q182">
        <f>O182*0.6+P182*0.4</f>
        <v>14</v>
      </c>
    </row>
    <row r="183" spans="15:17">
      <c r="O183">
        <f>E183*0.35+F183*0.35+G183*0.15+H183*0.15</f>
        <v>0</v>
      </c>
      <c r="P183">
        <f>I183*0.3+J183*0.2+(100-K183)*0.2+N183*0.15+(100-L183)*0.1+(100-M183)*0.05</f>
        <v>35</v>
      </c>
      <c r="Q183">
        <f>O183*0.6+P183*0.4</f>
        <v>14</v>
      </c>
    </row>
    <row r="184" spans="15:17">
      <c r="O184">
        <f>E184*0.35+F184*0.35+G184*0.15+H184*0.15</f>
        <v>0</v>
      </c>
      <c r="P184">
        <f>I184*0.3+J184*0.2+(100-K184)*0.2+N184*0.15+(100-L184)*0.1+(100-M184)*0.05</f>
        <v>35</v>
      </c>
      <c r="Q184">
        <f>O184*0.6+P184*0.4</f>
        <v>14</v>
      </c>
    </row>
    <row r="185" spans="15:17">
      <c r="O185">
        <f>E185*0.35+F185*0.35+G185*0.15+H185*0.15</f>
        <v>0</v>
      </c>
      <c r="P185">
        <f>I185*0.3+J185*0.2+(100-K185)*0.2+N185*0.15+(100-L185)*0.1+(100-M185)*0.05</f>
        <v>35</v>
      </c>
      <c r="Q185">
        <f>O185*0.6+P185*0.4</f>
        <v>14</v>
      </c>
    </row>
    <row r="186" spans="15:17">
      <c r="O186">
        <f>E186*0.35+F186*0.35+G186*0.15+H186*0.15</f>
        <v>0</v>
      </c>
      <c r="P186">
        <f>I186*0.3+J186*0.2+(100-K186)*0.2+N186*0.15+(100-L186)*0.1+(100-M186)*0.05</f>
        <v>35</v>
      </c>
      <c r="Q186">
        <f>O186*0.6+P186*0.4</f>
        <v>14</v>
      </c>
    </row>
    <row r="187" spans="15:17">
      <c r="O187">
        <f>E187*0.35+F187*0.35+G187*0.15+H187*0.15</f>
        <v>0</v>
      </c>
      <c r="P187">
        <f>I187*0.3+J187*0.2+(100-K187)*0.2+N187*0.15+(100-L187)*0.1+(100-M187)*0.05</f>
        <v>35</v>
      </c>
      <c r="Q187">
        <f>O187*0.6+P187*0.4</f>
        <v>14</v>
      </c>
    </row>
    <row r="188" spans="15:17">
      <c r="O188">
        <f>E188*0.35+F188*0.35+G188*0.15+H188*0.15</f>
        <v>0</v>
      </c>
      <c r="P188">
        <f>I188*0.3+J188*0.2+(100-K188)*0.2+N188*0.15+(100-L188)*0.1+(100-M188)*0.05</f>
        <v>35</v>
      </c>
      <c r="Q188">
        <f>O188*0.6+P188*0.4</f>
        <v>14</v>
      </c>
    </row>
    <row r="189" spans="15:17">
      <c r="O189">
        <f>E189*0.35+F189*0.35+G189*0.15+H189*0.15</f>
        <v>0</v>
      </c>
      <c r="P189">
        <f>I189*0.3+J189*0.2+(100-K189)*0.2+N189*0.15+(100-L189)*0.1+(100-M189)*0.05</f>
        <v>35</v>
      </c>
      <c r="Q189">
        <f>O189*0.6+P189*0.4</f>
        <v>14</v>
      </c>
    </row>
    <row r="190" spans="15:17">
      <c r="O190">
        <f>E190*0.35+F190*0.35+G190*0.15+H190*0.15</f>
        <v>0</v>
      </c>
      <c r="P190">
        <f>I190*0.3+J190*0.2+(100-K190)*0.2+N190*0.15+(100-L190)*0.1+(100-M190)*0.05</f>
        <v>35</v>
      </c>
      <c r="Q190">
        <f>O190*0.6+P190*0.4</f>
        <v>14</v>
      </c>
    </row>
    <row r="191" spans="15:17">
      <c r="O191">
        <f>E191*0.35+F191*0.35+G191*0.15+H191*0.15</f>
        <v>0</v>
      </c>
      <c r="P191">
        <f>I191*0.3+J191*0.2+(100-K191)*0.2+N191*0.15+(100-L191)*0.1+(100-M191)*0.05</f>
        <v>35</v>
      </c>
      <c r="Q191">
        <f>O191*0.6+P191*0.4</f>
        <v>14</v>
      </c>
    </row>
    <row r="192" spans="15:17">
      <c r="O192">
        <f>E192*0.35+F192*0.35+G192*0.15+H192*0.15</f>
        <v>0</v>
      </c>
      <c r="P192">
        <f>I192*0.3+J192*0.2+(100-K192)*0.2+N192*0.15+(100-L192)*0.1+(100-M192)*0.05</f>
        <v>35</v>
      </c>
      <c r="Q192">
        <f>O192*0.6+P192*0.4</f>
        <v>14</v>
      </c>
    </row>
    <row r="193" spans="15:17">
      <c r="O193">
        <f>E193*0.35+F193*0.35+G193*0.15+H193*0.15</f>
        <v>0</v>
      </c>
      <c r="P193">
        <f>I193*0.3+J193*0.2+(100-K193)*0.2+N193*0.15+(100-L193)*0.1+(100-M193)*0.05</f>
        <v>35</v>
      </c>
      <c r="Q193">
        <f>O193*0.6+P193*0.4</f>
        <v>14</v>
      </c>
    </row>
    <row r="194" spans="15:17">
      <c r="O194">
        <f>E194*0.35+F194*0.35+G194*0.15+H194*0.15</f>
        <v>0</v>
      </c>
      <c r="P194">
        <f>I194*0.3+J194*0.2+(100-K194)*0.2+N194*0.15+(100-L194)*0.1+(100-M194)*0.05</f>
        <v>35</v>
      </c>
      <c r="Q194">
        <f>O194*0.6+P194*0.4</f>
        <v>14</v>
      </c>
    </row>
    <row r="195" spans="15:17">
      <c r="O195">
        <f>E195*0.35+F195*0.35+G195*0.15+H195*0.15</f>
        <v>0</v>
      </c>
      <c r="P195">
        <f>I195*0.3+J195*0.2+(100-K195)*0.2+N195*0.15+(100-L195)*0.1+(100-M195)*0.05</f>
        <v>35</v>
      </c>
      <c r="Q195">
        <f>O195*0.6+P195*0.4</f>
        <v>14</v>
      </c>
    </row>
    <row r="196" spans="15:17">
      <c r="O196">
        <f>E196*0.35+F196*0.35+G196*0.15+H196*0.15</f>
        <v>0</v>
      </c>
      <c r="P196">
        <f>I196*0.3+J196*0.2+(100-K196)*0.2+N196*0.15+(100-L196)*0.1+(100-M196)*0.05</f>
        <v>35</v>
      </c>
      <c r="Q196">
        <f>O196*0.6+P196*0.4</f>
        <v>14</v>
      </c>
    </row>
    <row r="197" spans="15:17">
      <c r="O197">
        <f>E197*0.35+F197*0.35+G197*0.15+H197*0.15</f>
        <v>0</v>
      </c>
      <c r="P197">
        <f>I197*0.3+J197*0.2+(100-K197)*0.2+N197*0.15+(100-L197)*0.1+(100-M197)*0.05</f>
        <v>35</v>
      </c>
      <c r="Q197">
        <f>O197*0.6+P197*0.4</f>
        <v>14</v>
      </c>
    </row>
    <row r="198" spans="15:17">
      <c r="O198">
        <f>E198*0.35+F198*0.35+G198*0.15+H198*0.15</f>
        <v>0</v>
      </c>
      <c r="P198">
        <f>I198*0.3+J198*0.2+(100-K198)*0.2+N198*0.15+(100-L198)*0.1+(100-M198)*0.05</f>
        <v>35</v>
      </c>
      <c r="Q198">
        <f>O198*0.6+P198*0.4</f>
        <v>14</v>
      </c>
    </row>
    <row r="199" spans="15:17">
      <c r="O199">
        <f>E199*0.35+F199*0.35+G199*0.15+H199*0.15</f>
        <v>0</v>
      </c>
      <c r="P199">
        <f>I199*0.3+J199*0.2+(100-K199)*0.2+N199*0.15+(100-L199)*0.1+(100-M199)*0.05</f>
        <v>35</v>
      </c>
      <c r="Q199">
        <f>O199*0.6+P199*0.4</f>
        <v>14</v>
      </c>
    </row>
    <row r="200" spans="15:17">
      <c r="O200">
        <f>E200*0.35+F200*0.35+G200*0.15+H200*0.15</f>
        <v>0</v>
      </c>
      <c r="P200">
        <f>I200*0.3+J200*0.2+(100-K200)*0.2+N200*0.15+(100-L200)*0.1+(100-M200)*0.05</f>
        <v>35</v>
      </c>
      <c r="Q200">
        <f>O200*0.6+P200*0.4</f>
        <v>14</v>
      </c>
    </row>
  </sheetData>
  <dataValidations count="1">
    <dataValidation type="list" sqref="E2:E200 F2:F200 G2:G200 H2:H200 I2:I200 J2:J200 K2:K200 L2:L200 M2:M200 N2:N200" xr:uid="{00000000-0002-0000-0000-000000000000}">
      <formula1>"0,5,15,30,50,75,100"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1"/>
  <sheetViews>
    <sheetView workbookViewId="0"/>
  </sheetViews>
  <sheetFormatPr defaultRowHeight="15"/>
  <sheetData>
    <row r="1" spans="1:9">
      <c r="A1" t="s">
        <v>17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t="s">
        <v>25</v>
      </c>
    </row>
    <row r="2" spans="1:9">
      <c r="A2" t="s">
        <v>4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G2" t="s">
        <v>31</v>
      </c>
      <c r="H2" t="s">
        <v>32</v>
      </c>
      <c r="I2" t="s">
        <v>33</v>
      </c>
    </row>
    <row r="3" spans="1:9">
      <c r="A3" t="s">
        <v>5</v>
      </c>
      <c r="B3" t="s">
        <v>34</v>
      </c>
      <c r="C3" t="s">
        <v>35</v>
      </c>
      <c r="D3" t="s">
        <v>36</v>
      </c>
      <c r="E3" t="s">
        <v>37</v>
      </c>
      <c r="F3" t="s">
        <v>38</v>
      </c>
      <c r="G3" t="s">
        <v>39</v>
      </c>
      <c r="H3" t="s">
        <v>40</v>
      </c>
      <c r="I3" t="s">
        <v>41</v>
      </c>
    </row>
    <row r="4" spans="1:9">
      <c r="A4" t="s">
        <v>6</v>
      </c>
      <c r="B4" t="s">
        <v>42</v>
      </c>
      <c r="C4" t="s">
        <v>43</v>
      </c>
      <c r="D4" t="s">
        <v>44</v>
      </c>
      <c r="E4" t="s">
        <v>45</v>
      </c>
      <c r="F4" t="s">
        <v>46</v>
      </c>
      <c r="G4" t="s">
        <v>47</v>
      </c>
      <c r="H4" t="s">
        <v>48</v>
      </c>
      <c r="I4" t="s">
        <v>49</v>
      </c>
    </row>
    <row r="5" spans="1:9">
      <c r="A5" t="s">
        <v>7</v>
      </c>
      <c r="B5" t="s">
        <v>50</v>
      </c>
      <c r="C5" t="s">
        <v>43</v>
      </c>
      <c r="D5" t="s">
        <v>36</v>
      </c>
      <c r="E5" t="s">
        <v>45</v>
      </c>
      <c r="F5" t="s">
        <v>51</v>
      </c>
      <c r="G5" t="s">
        <v>52</v>
      </c>
      <c r="H5" t="s">
        <v>53</v>
      </c>
      <c r="I5" t="s">
        <v>54</v>
      </c>
    </row>
    <row r="6" spans="1:9">
      <c r="A6" t="s">
        <v>8</v>
      </c>
      <c r="B6" t="s">
        <v>55</v>
      </c>
      <c r="C6" t="s">
        <v>43</v>
      </c>
      <c r="D6" t="s">
        <v>56</v>
      </c>
      <c r="E6" t="s">
        <v>57</v>
      </c>
      <c r="F6" t="s">
        <v>58</v>
      </c>
      <c r="G6" t="s">
        <v>59</v>
      </c>
      <c r="H6" t="s">
        <v>60</v>
      </c>
      <c r="I6" t="s">
        <v>61</v>
      </c>
    </row>
    <row r="7" spans="1:9">
      <c r="A7" t="s">
        <v>9</v>
      </c>
      <c r="B7" t="s">
        <v>62</v>
      </c>
      <c r="C7" t="s">
        <v>63</v>
      </c>
      <c r="D7" t="s">
        <v>64</v>
      </c>
      <c r="E7" t="s">
        <v>65</v>
      </c>
      <c r="F7" t="s">
        <v>66</v>
      </c>
      <c r="G7" t="s">
        <v>67</v>
      </c>
      <c r="H7" t="s">
        <v>68</v>
      </c>
      <c r="I7" t="s">
        <v>69</v>
      </c>
    </row>
    <row r="8" spans="1:9">
      <c r="A8" t="s">
        <v>10</v>
      </c>
      <c r="B8" t="s">
        <v>70</v>
      </c>
      <c r="C8" t="s">
        <v>43</v>
      </c>
      <c r="D8" t="s">
        <v>71</v>
      </c>
      <c r="E8" t="s">
        <v>72</v>
      </c>
      <c r="F8" t="s">
        <v>45</v>
      </c>
      <c r="G8" t="s">
        <v>73</v>
      </c>
      <c r="H8" t="s">
        <v>74</v>
      </c>
      <c r="I8" t="s">
        <v>75</v>
      </c>
    </row>
    <row r="9" spans="1:9">
      <c r="A9" t="s">
        <v>11</v>
      </c>
      <c r="B9" t="s">
        <v>76</v>
      </c>
      <c r="C9" t="s">
        <v>43</v>
      </c>
      <c r="D9" t="s">
        <v>36</v>
      </c>
      <c r="E9" t="s">
        <v>45</v>
      </c>
      <c r="F9" t="s">
        <v>73</v>
      </c>
      <c r="G9" t="s">
        <v>77</v>
      </c>
      <c r="H9" t="s">
        <v>78</v>
      </c>
      <c r="I9" t="s">
        <v>79</v>
      </c>
    </row>
    <row r="10" spans="1:9">
      <c r="A10" t="s">
        <v>12</v>
      </c>
      <c r="B10" t="s">
        <v>80</v>
      </c>
      <c r="C10" t="s">
        <v>81</v>
      </c>
      <c r="D10" t="s">
        <v>28</v>
      </c>
      <c r="E10" t="s">
        <v>82</v>
      </c>
      <c r="F10" t="s">
        <v>73</v>
      </c>
      <c r="G10" t="s">
        <v>77</v>
      </c>
      <c r="H10" t="s">
        <v>83</v>
      </c>
      <c r="I10" t="s">
        <v>84</v>
      </c>
    </row>
    <row r="11" spans="1:9">
      <c r="A11" t="s">
        <v>13</v>
      </c>
      <c r="B11" t="s">
        <v>85</v>
      </c>
      <c r="C11" t="s">
        <v>86</v>
      </c>
      <c r="D11" t="s">
        <v>87</v>
      </c>
      <c r="E11" t="s">
        <v>88</v>
      </c>
      <c r="F11" t="s">
        <v>89</v>
      </c>
      <c r="G11" t="s">
        <v>90</v>
      </c>
      <c r="H11" t="s">
        <v>91</v>
      </c>
      <c r="I11" t="s">
        <v>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7"/>
  <sheetViews>
    <sheetView workbookViewId="0"/>
  </sheetViews>
  <sheetFormatPr defaultRowHeight="15"/>
  <sheetData>
    <row r="1" spans="1:2">
      <c r="A1" t="s">
        <v>93</v>
      </c>
      <c r="B1" t="s">
        <v>94</v>
      </c>
    </row>
    <row r="2" spans="1:2">
      <c r="A2" t="s">
        <v>4</v>
      </c>
      <c r="B2" t="s">
        <v>95</v>
      </c>
    </row>
    <row r="3" spans="1:2">
      <c r="A3" t="s">
        <v>5</v>
      </c>
      <c r="B3" t="s">
        <v>95</v>
      </c>
    </row>
    <row r="4" spans="1:2">
      <c r="A4" t="s">
        <v>6</v>
      </c>
      <c r="B4" t="s">
        <v>96</v>
      </c>
    </row>
    <row r="5" spans="1:2">
      <c r="A5" t="s">
        <v>7</v>
      </c>
      <c r="B5" t="s">
        <v>96</v>
      </c>
    </row>
    <row r="7" spans="1:2">
      <c r="A7" t="s">
        <v>97</v>
      </c>
      <c r="B7" t="s">
        <v>94</v>
      </c>
    </row>
    <row r="8" spans="1:2">
      <c r="A8" t="s">
        <v>8</v>
      </c>
      <c r="B8" t="s">
        <v>98</v>
      </c>
    </row>
    <row r="9" spans="1:2">
      <c r="A9" t="s">
        <v>9</v>
      </c>
      <c r="B9" t="s">
        <v>99</v>
      </c>
    </row>
    <row r="10" spans="1:2">
      <c r="A10" t="s">
        <v>100</v>
      </c>
      <c r="B10" t="s">
        <v>99</v>
      </c>
    </row>
    <row r="11" spans="1:2">
      <c r="A11" t="s">
        <v>13</v>
      </c>
      <c r="B11" t="s">
        <v>96</v>
      </c>
    </row>
    <row r="12" spans="1:2">
      <c r="A12" t="s">
        <v>101</v>
      </c>
      <c r="B12" t="s">
        <v>102</v>
      </c>
    </row>
    <row r="13" spans="1:2">
      <c r="A13" t="s">
        <v>103</v>
      </c>
      <c r="B13" t="s">
        <v>104</v>
      </c>
    </row>
    <row r="15" spans="1:2">
      <c r="A15" t="s">
        <v>105</v>
      </c>
      <c r="B15" t="s">
        <v>94</v>
      </c>
    </row>
    <row r="16" spans="1:2">
      <c r="A16" t="s">
        <v>14</v>
      </c>
      <c r="B16" t="s">
        <v>106</v>
      </c>
    </row>
    <row r="17" spans="1:2">
      <c r="A17" t="s">
        <v>15</v>
      </c>
      <c r="B17" t="s">
        <v>107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7"/>
  <sheetViews>
    <sheetView workbookViewId="0"/>
  </sheetViews>
  <sheetFormatPr defaultRowHeight="15"/>
  <sheetData>
    <row r="1" spans="1:4">
      <c r="A1" s="2" t="s">
        <v>0</v>
      </c>
      <c r="B1" s="2" t="s">
        <v>1</v>
      </c>
      <c r="C1" s="2" t="s">
        <v>2</v>
      </c>
      <c r="D1" s="2" t="s">
        <v>3</v>
      </c>
    </row>
    <row r="2" spans="1:4">
      <c r="A2" t="s">
        <v>108</v>
      </c>
      <c r="B2" t="s">
        <v>109</v>
      </c>
      <c r="C2" t="s">
        <v>110</v>
      </c>
      <c r="D2" t="s">
        <v>111</v>
      </c>
    </row>
    <row r="3" spans="1:4">
      <c r="A3" t="s">
        <v>108</v>
      </c>
      <c r="B3" t="s">
        <v>109</v>
      </c>
      <c r="C3" t="s">
        <v>112</v>
      </c>
      <c r="D3" t="s">
        <v>113</v>
      </c>
    </row>
    <row r="4" spans="1:4">
      <c r="A4" t="s">
        <v>108</v>
      </c>
      <c r="B4" t="s">
        <v>114</v>
      </c>
      <c r="C4" t="s">
        <v>115</v>
      </c>
      <c r="D4" t="s">
        <v>108</v>
      </c>
    </row>
    <row r="5" spans="1:4">
      <c r="A5" t="s">
        <v>108</v>
      </c>
      <c r="B5" t="s">
        <v>109</v>
      </c>
      <c r="C5" t="s">
        <v>116</v>
      </c>
      <c r="D5" t="s">
        <v>117</v>
      </c>
    </row>
    <row r="6" spans="1:4">
      <c r="A6" t="s">
        <v>108</v>
      </c>
      <c r="B6" t="s">
        <v>118</v>
      </c>
      <c r="C6" t="s">
        <v>119</v>
      </c>
      <c r="D6" t="s">
        <v>120</v>
      </c>
    </row>
    <row r="7" spans="1:4">
      <c r="A7" t="s">
        <v>108</v>
      </c>
      <c r="B7" t="s">
        <v>114</v>
      </c>
      <c r="C7" t="s">
        <v>121</v>
      </c>
      <c r="D7" t="s">
        <v>122</v>
      </c>
    </row>
    <row r="8" spans="1:4">
      <c r="A8" t="s">
        <v>123</v>
      </c>
      <c r="B8" t="s">
        <v>109</v>
      </c>
      <c r="C8" t="s">
        <v>124</v>
      </c>
      <c r="D8" t="s">
        <v>125</v>
      </c>
    </row>
    <row r="9" spans="1:4">
      <c r="A9" t="s">
        <v>123</v>
      </c>
      <c r="B9" t="s">
        <v>126</v>
      </c>
      <c r="C9" t="s">
        <v>127</v>
      </c>
      <c r="D9" t="s">
        <v>125</v>
      </c>
    </row>
    <row r="10" spans="1:4">
      <c r="A10" t="s">
        <v>123</v>
      </c>
      <c r="B10" t="s">
        <v>114</v>
      </c>
      <c r="C10" t="s">
        <v>128</v>
      </c>
      <c r="D10" t="s">
        <v>125</v>
      </c>
    </row>
    <row r="11" spans="1:4">
      <c r="A11" t="s">
        <v>123</v>
      </c>
      <c r="B11" t="s">
        <v>118</v>
      </c>
      <c r="C11" t="s">
        <v>129</v>
      </c>
      <c r="D11" t="s">
        <v>130</v>
      </c>
    </row>
    <row r="12" spans="1:4">
      <c r="A12" t="s">
        <v>123</v>
      </c>
      <c r="B12" t="s">
        <v>131</v>
      </c>
      <c r="C12" t="s">
        <v>132</v>
      </c>
      <c r="D12" t="s">
        <v>125</v>
      </c>
    </row>
    <row r="13" spans="1:4">
      <c r="A13" t="s">
        <v>123</v>
      </c>
      <c r="B13" t="s">
        <v>109</v>
      </c>
      <c r="C13" t="s">
        <v>133</v>
      </c>
      <c r="D13" t="s">
        <v>134</v>
      </c>
    </row>
    <row r="14" spans="1:4">
      <c r="A14" t="s">
        <v>135</v>
      </c>
      <c r="B14" t="s">
        <v>136</v>
      </c>
      <c r="C14" t="s">
        <v>137</v>
      </c>
      <c r="D14" t="s">
        <v>138</v>
      </c>
    </row>
    <row r="15" spans="1:4">
      <c r="A15" t="s">
        <v>135</v>
      </c>
      <c r="B15" t="s">
        <v>136</v>
      </c>
      <c r="C15" t="s">
        <v>139</v>
      </c>
      <c r="D15" t="s">
        <v>138</v>
      </c>
    </row>
    <row r="16" spans="1:4">
      <c r="A16" t="s">
        <v>135</v>
      </c>
      <c r="B16" t="s">
        <v>131</v>
      </c>
      <c r="C16" t="s">
        <v>140</v>
      </c>
      <c r="D16" t="s">
        <v>138</v>
      </c>
    </row>
    <row r="17" spans="1:4">
      <c r="A17" t="s">
        <v>135</v>
      </c>
      <c r="B17" t="s">
        <v>136</v>
      </c>
      <c r="C17" t="s">
        <v>141</v>
      </c>
      <c r="D17" t="s">
        <v>138</v>
      </c>
    </row>
    <row r="18" spans="1:4">
      <c r="A18" t="s">
        <v>135</v>
      </c>
      <c r="B18" t="s">
        <v>109</v>
      </c>
      <c r="C18" t="s">
        <v>142</v>
      </c>
      <c r="D18" t="s">
        <v>138</v>
      </c>
    </row>
    <row r="19" spans="1:4">
      <c r="A19" t="s">
        <v>135</v>
      </c>
      <c r="B19" t="s">
        <v>143</v>
      </c>
      <c r="C19" t="s">
        <v>144</v>
      </c>
      <c r="D19" t="s">
        <v>145</v>
      </c>
    </row>
    <row r="20" spans="1:4">
      <c r="A20" t="s">
        <v>146</v>
      </c>
      <c r="B20" t="s">
        <v>136</v>
      </c>
      <c r="C20" t="s">
        <v>147</v>
      </c>
      <c r="D20" t="s">
        <v>148</v>
      </c>
    </row>
    <row r="21" spans="1:4">
      <c r="A21" t="s">
        <v>146</v>
      </c>
      <c r="B21" t="s">
        <v>109</v>
      </c>
      <c r="C21" t="s">
        <v>149</v>
      </c>
      <c r="D21" t="s">
        <v>150</v>
      </c>
    </row>
    <row r="22" spans="1:4">
      <c r="A22" t="s">
        <v>146</v>
      </c>
      <c r="B22" t="s">
        <v>114</v>
      </c>
      <c r="C22" t="s">
        <v>151</v>
      </c>
      <c r="D22" t="s">
        <v>148</v>
      </c>
    </row>
    <row r="23" spans="1:4">
      <c r="A23" t="s">
        <v>146</v>
      </c>
      <c r="B23" t="s">
        <v>143</v>
      </c>
      <c r="C23" t="s">
        <v>152</v>
      </c>
      <c r="D23" t="s">
        <v>148</v>
      </c>
    </row>
    <row r="24" spans="1:4">
      <c r="A24" t="s">
        <v>146</v>
      </c>
      <c r="B24" t="s">
        <v>7</v>
      </c>
      <c r="C24" t="s">
        <v>153</v>
      </c>
      <c r="D24" t="s">
        <v>148</v>
      </c>
    </row>
    <row r="25" spans="1:4">
      <c r="A25" t="s">
        <v>146</v>
      </c>
      <c r="B25" t="s">
        <v>154</v>
      </c>
      <c r="C25" t="s">
        <v>155</v>
      </c>
      <c r="D25" t="s">
        <v>156</v>
      </c>
    </row>
    <row r="26" spans="1:4">
      <c r="A26" t="s">
        <v>157</v>
      </c>
      <c r="B26" t="s">
        <v>109</v>
      </c>
      <c r="C26" t="s">
        <v>158</v>
      </c>
      <c r="D26" t="s">
        <v>157</v>
      </c>
    </row>
    <row r="27" spans="1:4">
      <c r="A27" t="s">
        <v>157</v>
      </c>
      <c r="B27" t="s">
        <v>114</v>
      </c>
      <c r="C27" t="s">
        <v>159</v>
      </c>
      <c r="D27" t="s">
        <v>157</v>
      </c>
    </row>
    <row r="28" spans="1:4">
      <c r="A28" t="s">
        <v>157</v>
      </c>
      <c r="B28" t="s">
        <v>118</v>
      </c>
      <c r="C28" t="s">
        <v>160</v>
      </c>
      <c r="D28" t="s">
        <v>157</v>
      </c>
    </row>
    <row r="29" spans="1:4">
      <c r="A29" t="s">
        <v>157</v>
      </c>
      <c r="B29" t="s">
        <v>161</v>
      </c>
      <c r="C29" t="s">
        <v>162</v>
      </c>
      <c r="D29" t="s">
        <v>163</v>
      </c>
    </row>
    <row r="30" spans="1:4">
      <c r="A30" t="s">
        <v>157</v>
      </c>
      <c r="B30" t="s">
        <v>109</v>
      </c>
      <c r="C30" t="s">
        <v>164</v>
      </c>
      <c r="D30" t="s">
        <v>165</v>
      </c>
    </row>
    <row r="31" spans="1:4">
      <c r="A31" t="s">
        <v>157</v>
      </c>
      <c r="B31" t="s">
        <v>126</v>
      </c>
      <c r="C31" t="s">
        <v>166</v>
      </c>
      <c r="D31" t="s">
        <v>157</v>
      </c>
    </row>
    <row r="32" spans="1:4">
      <c r="A32" t="s">
        <v>167</v>
      </c>
      <c r="B32" t="s">
        <v>109</v>
      </c>
      <c r="C32" t="s">
        <v>168</v>
      </c>
      <c r="D32" t="s">
        <v>167</v>
      </c>
    </row>
    <row r="33" spans="1:4">
      <c r="A33" t="s">
        <v>167</v>
      </c>
      <c r="B33" t="s">
        <v>131</v>
      </c>
      <c r="C33" t="s">
        <v>169</v>
      </c>
      <c r="D33" t="s">
        <v>167</v>
      </c>
    </row>
    <row r="34" spans="1:4">
      <c r="A34" t="s">
        <v>167</v>
      </c>
      <c r="B34" t="s">
        <v>114</v>
      </c>
      <c r="C34" t="s">
        <v>170</v>
      </c>
      <c r="D34" t="s">
        <v>167</v>
      </c>
    </row>
    <row r="35" spans="1:4">
      <c r="A35" t="s">
        <v>167</v>
      </c>
      <c r="B35" t="s">
        <v>154</v>
      </c>
      <c r="C35" t="s">
        <v>171</v>
      </c>
      <c r="D35" t="s">
        <v>167</v>
      </c>
    </row>
    <row r="36" spans="1:4">
      <c r="A36" t="s">
        <v>167</v>
      </c>
      <c r="B36" t="s">
        <v>109</v>
      </c>
      <c r="C36" t="s">
        <v>172</v>
      </c>
      <c r="D36" t="s">
        <v>167</v>
      </c>
    </row>
    <row r="37" spans="1:4">
      <c r="A37" t="s">
        <v>167</v>
      </c>
      <c r="B37" t="s">
        <v>131</v>
      </c>
      <c r="C37" t="s">
        <v>173</v>
      </c>
      <c r="D37" t="s">
        <v>167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5"/>
  <sheetViews>
    <sheetView workbookViewId="0"/>
  </sheetViews>
  <sheetFormatPr defaultRowHeight="15"/>
  <sheetData>
    <row r="1" spans="1:1">
      <c r="A1" t="s">
        <v>174</v>
      </c>
    </row>
    <row r="2" spans="1:1">
      <c r="A2" t="s">
        <v>175</v>
      </c>
    </row>
    <row r="3" spans="1:1">
      <c r="A3" t="s">
        <v>176</v>
      </c>
    </row>
    <row r="4" spans="1:1">
      <c r="A4" t="s">
        <v>177</v>
      </c>
    </row>
    <row r="5" spans="1:1">
      <c r="A5" t="s">
        <v>178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Gaurav Babel</dc:creator>
  <cp:keywords/>
  <dc:description/>
  <cp:lastModifiedBy/>
  <cp:revision/>
  <dcterms:created xsi:type="dcterms:W3CDTF">2026-09-10T20:13:16Z</dcterms:created>
  <dcterms:modified xsi:type="dcterms:W3CDTF">2026-09-10T20:34:06Z</dcterms:modified>
  <cp:category/>
  <cp:contentStatus/>
</cp:coreProperties>
</file>