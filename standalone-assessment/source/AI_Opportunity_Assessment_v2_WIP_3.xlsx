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95" firstSheet="2" activeTab="0" autoFilterDateGrouping="1"/>
  </bookViews>
  <sheets>
    <sheet name="Assessment Instructions" sheetId="1" state="visible" r:id="rId1"/>
    <sheet name="Assessment Template" sheetId="2" state="visible" r:id="rId2"/>
    <sheet name="Rubric" sheetId="3" state="visible" r:id="rId3"/>
    <sheet name="Weights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FF"/>
      <sz val="11"/>
    </font>
    <font>
      <name val="KorsSans Book"/>
      <b val="1"/>
      <i val="1"/>
      <color rgb="FF33457C"/>
      <sz val="16"/>
    </font>
    <font>
      <name val="Arial"/>
      <family val="2"/>
      <color theme="1"/>
      <sz val="12"/>
    </font>
    <font>
      <name val="KorsSans Book"/>
      <color rgb="FF404040"/>
      <sz val="12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1" fillId="2" borderId="1" pivotButton="0" quotePrefix="0" xfId="0"/>
    <xf numFmtId="0" fontId="1" fillId="2" borderId="2" pivotButton="0" quotePrefix="0" xfId="0"/>
    <xf numFmtId="0" fontId="0" fillId="0" borderId="2" pivotButton="0" quotePrefix="0" xfId="0"/>
    <xf numFmtId="0" fontId="1" fillId="2" borderId="3" pivotButton="0" quotePrefix="0" xfId="0"/>
    <xf numFmtId="0" fontId="0" fillId="0" borderId="3" pivotButton="0" quotePrefix="0" xfId="0"/>
    <xf numFmtId="0" fontId="3" fillId="2" borderId="1" applyAlignment="1" pivotButton="0" quotePrefix="0" xfId="0">
      <alignment wrapText="1"/>
    </xf>
    <xf numFmtId="0" fontId="3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horizontal="left" vertical="center" indent="4" readingOrder="1"/>
    </xf>
    <xf numFmtId="0" fontId="5" fillId="0" borderId="0" applyAlignment="1" pivotButton="0" quotePrefix="0" xfId="0">
      <alignment horizontal="left" vertical="center" indent="6" readingOrder="1"/>
    </xf>
    <xf numFmtId="0" fontId="6" fillId="0" borderId="0" pivotButton="0" quotePrefix="0" xfId="0"/>
    <xf numFmtId="0" fontId="8" fillId="0" borderId="0" pivotButton="0" quotePrefix="0" xfId="0"/>
    <xf numFmtId="0" fontId="7" fillId="0" borderId="1" pivotButton="0" quotePrefix="0" xfId="0"/>
    <xf numFmtId="0" fontId="8" fillId="0" borderId="1" pivotButton="0" quotePrefix="0" xfId="0"/>
    <xf numFmtId="0" fontId="9" fillId="0" borderId="1" pivotButton="0" quotePrefix="0" xfId="0"/>
    <xf numFmtId="9" fontId="8" fillId="0" borderId="1" pivotButton="0" quotePrefix="0" xfId="0"/>
    <xf numFmtId="0" fontId="9" fillId="0" borderId="1" applyAlignment="1" pivotButton="0" quotePrefix="0" xfId="0">
      <alignment wrapText="1"/>
    </xf>
    <xf numFmtId="0" fontId="1" fillId="2" borderId="3" applyAlignment="1" pivotButton="0" quotePrefix="0" xfId="0">
      <alignment wrapText="1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3" borderId="4" pivotButton="0" quotePrefix="0" xfId="0"/>
    <xf numFmtId="0" fontId="2" fillId="0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4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0" fontId="3" fillId="2" borderId="9" applyAlignment="1" pivotButton="0" quotePrefix="0" xfId="0">
      <alignment vertical="center" wrapText="1"/>
    </xf>
    <xf numFmtId="0" fontId="3" fillId="2" borderId="2" applyAlignment="1" pivotButton="0" quotePrefix="0" xfId="0">
      <alignment vertical="center" wrapText="1"/>
    </xf>
    <xf numFmtId="0" fontId="1" fillId="2" borderId="10" applyAlignment="1" pivotButton="0" quotePrefix="0" xfId="0">
      <alignment vertical="center" wrapText="1"/>
    </xf>
    <xf numFmtId="0" fontId="3" fillId="2" borderId="10" applyAlignment="1" pivotButton="0" quotePrefix="0" xfId="0">
      <alignment vertical="center" wrapText="1"/>
    </xf>
    <xf numFmtId="0" fontId="0" fillId="3" borderId="4" applyAlignment="1" pivotButton="0" quotePrefix="0" xfId="0">
      <alignment wrapText="1"/>
    </xf>
    <xf numFmtId="0" fontId="0" fillId="3" borderId="11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4" borderId="3" pivotButton="0" quotePrefix="0" xfId="0"/>
    <xf numFmtId="0" fontId="0" fillId="4" borderId="1" pivotButton="0" quotePrefix="0" xfId="0"/>
    <xf numFmtId="0" fontId="0" fillId="0" borderId="0" pivotButton="0" quotePrefix="0" xfId="0"/>
    <xf numFmtId="0" fontId="0" fillId="3" borderId="1" pivotButton="0" quotePrefix="0" xfId="0"/>
    <xf numFmtId="0" fontId="2" fillId="0" borderId="13" applyAlignment="1" pivotButton="0" quotePrefix="0" xfId="0">
      <alignment horizontal="center"/>
    </xf>
    <xf numFmtId="0" fontId="2" fillId="0" borderId="14" applyAlignment="1" pivotButton="0" quotePrefix="0" xfId="0">
      <alignment horizontal="center"/>
    </xf>
    <xf numFmtId="0" fontId="2" fillId="0" borderId="15" applyAlignment="1" pivotButton="0" quotePrefix="0" xfId="0">
      <alignment horizontal="center"/>
    </xf>
    <xf numFmtId="0" fontId="3" fillId="2" borderId="16" applyAlignment="1" pivotButton="0" quotePrefix="0" xfId="0">
      <alignment wrapText="1"/>
    </xf>
    <xf numFmtId="0" fontId="3" fillId="2" borderId="17" applyAlignment="1" pivotButton="0" quotePrefix="0" xfId="0">
      <alignment wrapText="1"/>
    </xf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3" borderId="20" pivotButton="0" quotePrefix="0" xfId="0"/>
    <xf numFmtId="0" fontId="0" fillId="3" borderId="21" pivotButton="0" quotePrefix="0" xfId="0"/>
    <xf numFmtId="0" fontId="0" fillId="0" borderId="6" pivotButton="0" quotePrefix="0" xfId="0"/>
    <xf numFmtId="0" fontId="0" fillId="0" borderId="22" pivotButton="0" quotePrefix="0" xfId="0"/>
    <xf numFmtId="0" fontId="0" fillId="3" borderId="6" pivotButton="0" quotePrefix="0" xfId="0"/>
    <xf numFmtId="0" fontId="3" fillId="2" borderId="24" applyAlignment="1" pivotButton="0" quotePrefix="0" xfId="0">
      <alignment wrapText="1"/>
    </xf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3" pivotButton="0" quotePrefix="0" xfId="0"/>
    <xf numFmtId="0" fontId="1" fillId="2" borderId="17" pivotButton="0" quotePrefix="0" xfId="0"/>
    <xf numFmtId="164" fontId="0" fillId="4" borderId="17" pivotButton="0" quotePrefix="0" xfId="0"/>
    <xf numFmtId="0" fontId="2" fillId="0" borderId="27" applyAlignment="1" pivotButton="0" quotePrefix="0" xfId="0">
      <alignment horizontal="center"/>
    </xf>
    <xf numFmtId="0" fontId="0" fillId="0" borderId="14" pivotButton="0" quotePrefix="0" xfId="0"/>
    <xf numFmtId="0" fontId="0" fillId="0" borderId="1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tabSelected="1" workbookViewId="0">
      <selection activeCell="A4" sqref="A4"/>
    </sheetView>
  </sheetViews>
  <sheetFormatPr baseColWidth="8" defaultRowHeight="14.45"/>
  <cols>
    <col width="93.5703125" customWidth="1" style="44" min="1" max="1"/>
  </cols>
  <sheetData>
    <row r="1">
      <c r="A1" s="1" t="inlineStr">
        <is>
          <t>AI Opportunity Assessment v1.0</t>
        </is>
      </c>
    </row>
    <row r="2">
      <c r="A2" t="inlineStr">
        <is>
          <t>Each user to review only AI Opportunities relevant to his or her domain. Leadership scores all.</t>
        </is>
      </c>
    </row>
    <row r="3">
      <c r="A3" t="inlineStr">
        <is>
          <t>Each factor needs to be weighted appropriately in the overall scores calculation. Impact &amp; Feasibility would have defined weightage in calculating AI Opportunity score</t>
        </is>
      </c>
    </row>
    <row r="4" ht="20.1" customHeight="1" s="44">
      <c r="A4" t="inlineStr">
        <is>
          <t>Factors should be such that targeted users can score the opportunities effectively</t>
        </is>
      </c>
      <c r="C4" s="12" t="n"/>
    </row>
    <row r="5" ht="15.6" customHeight="1" s="44">
      <c r="A5" t="inlineStr">
        <is>
          <t>Scoring to be done by AI CoE team basis interview with relevant initiative business owners</t>
        </is>
      </c>
      <c r="C5" s="13" t="n"/>
    </row>
    <row r="6" ht="15.6" customHeight="1" s="44">
      <c r="C6" s="13" t="n"/>
    </row>
    <row r="7" ht="15.6" customHeight="1" s="44">
      <c r="C7" s="13" t="n"/>
    </row>
    <row r="8" ht="15.6" customHeight="1" s="44">
      <c r="C8" s="13" t="n"/>
    </row>
    <row r="9" ht="15.6" customHeight="1" s="44">
      <c r="C9" s="13" t="n"/>
    </row>
    <row r="10" ht="20.1" customHeight="1" s="44">
      <c r="C10" s="12" t="n"/>
    </row>
    <row r="11" ht="15.6" customHeight="1" s="44">
      <c r="C11" s="13" t="n"/>
    </row>
    <row r="12" ht="15.6" customHeight="1" s="44">
      <c r="C12" s="13" t="n"/>
    </row>
    <row r="13" ht="15.6" customHeight="1" s="44">
      <c r="C13" s="13" t="n"/>
    </row>
    <row r="14" ht="15.6" customHeight="1" s="44">
      <c r="C14" s="13" t="n"/>
    </row>
    <row r="15" ht="15.6" customHeight="1" s="44">
      <c r="C15" s="14" t="n"/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4"/>
  <sheetViews>
    <sheetView workbookViewId="0">
      <pane xSplit="2" ySplit="2" topLeftCell="C42" activePane="bottomRight" state="frozen"/>
      <selection pane="bottomRight" activeCell="B46" sqref="B46"/>
      <selection pane="bottomLeft" activeCell="A1" sqref="A1"/>
      <selection pane="topRight" activeCell="A1" sqref="A1"/>
    </sheetView>
  </sheetViews>
  <sheetFormatPr baseColWidth="8" defaultRowHeight="15" customHeight="1"/>
  <cols>
    <col width="22.140625" bestFit="1" customWidth="1" style="44" min="1" max="1"/>
    <col width="39.7109375" bestFit="1" customWidth="1" style="44" min="2" max="2"/>
    <col width="29.140625" bestFit="1" customWidth="1" style="44" min="3" max="3"/>
    <col width="27.28515625" bestFit="1" customWidth="1" style="44" min="4" max="4"/>
    <col width="25.28515625" customWidth="1" style="44" min="5" max="5"/>
    <col width="19.5703125" customWidth="1" style="44" min="6" max="6"/>
    <col width="19.140625" customWidth="1" style="44" min="7" max="7"/>
    <col width="20" customWidth="1" style="44" min="8" max="8"/>
    <col width="13.7109375" bestFit="1" customWidth="1" style="44" min="9" max="9"/>
    <col width="13.7109375" customWidth="1" style="44" min="10" max="10"/>
    <col width="22" bestFit="1" customWidth="1" style="44" min="11" max="11"/>
    <col width="18.85546875" customWidth="1" style="44" min="12" max="12"/>
    <col width="13.42578125" bestFit="1" customWidth="1" style="44" min="13" max="13"/>
    <col width="13.42578125" customWidth="1" style="44" min="14" max="14"/>
    <col width="12" customWidth="1" style="44" min="15" max="15"/>
    <col width="15" customWidth="1" style="44" min="16" max="16"/>
    <col width="20.140625" bestFit="1" customWidth="1" style="44" min="17" max="17"/>
  </cols>
  <sheetData>
    <row r="1">
      <c r="E1" s="69" t="inlineStr">
        <is>
          <t>Impact</t>
        </is>
      </c>
      <c r="F1" s="70" t="n"/>
      <c r="G1" s="70" t="n"/>
      <c r="H1" s="71" t="n"/>
      <c r="I1" s="69" t="inlineStr">
        <is>
          <t>Feasibility</t>
        </is>
      </c>
      <c r="J1" s="70" t="n"/>
      <c r="K1" s="70" t="n"/>
      <c r="L1" s="70" t="n"/>
      <c r="M1" s="70" t="n"/>
      <c r="N1" s="71" t="n"/>
      <c r="O1" s="65" t="n"/>
      <c r="P1" s="65" t="n"/>
      <c r="Q1" s="66" t="n"/>
    </row>
    <row r="2" ht="60.75" customHeight="1" s="44">
      <c r="A2" s="4" t="inlineStr">
        <is>
          <t>Business Area</t>
        </is>
      </c>
      <c r="B2" s="4" t="inlineStr">
        <is>
          <t>AI Opportunity</t>
        </is>
      </c>
      <c r="C2" s="4" t="inlineStr">
        <is>
          <t>Business Goal</t>
        </is>
      </c>
      <c r="D2" s="5" t="inlineStr">
        <is>
          <t>Relevant Team</t>
        </is>
      </c>
      <c r="E2" s="49" t="inlineStr">
        <is>
          <t>Financial Impact 
(Revenue or Margin Growth, Losses Prevented)</t>
        </is>
      </c>
      <c r="F2" s="9" t="inlineStr">
        <is>
          <t>Process Efficiency (Reduce process time, reduce error rate)</t>
        </is>
      </c>
      <c r="G2" s="9" t="inlineStr">
        <is>
          <t>Customer Experience 
(CLV or NPS Growth)</t>
        </is>
      </c>
      <c r="H2" s="50" t="inlineStr">
        <is>
          <t>Strategic Priority</t>
        </is>
      </c>
      <c r="I2" s="7" t="inlineStr">
        <is>
          <t>Data Readiness</t>
        </is>
      </c>
      <c r="J2" s="21" t="inlineStr">
        <is>
          <t>Process Readiness</t>
        </is>
      </c>
      <c r="K2" s="9" t="inlineStr">
        <is>
          <t>Implementation Complexity (System/Teams involved)</t>
        </is>
      </c>
      <c r="L2" s="9" t="inlineStr">
        <is>
          <t>Risk Profile</t>
        </is>
      </c>
      <c r="M2" s="9" t="inlineStr">
        <is>
          <t>CapEx Cost</t>
        </is>
      </c>
      <c r="N2" s="62" t="inlineStr">
        <is>
          <t>OpEx Cost</t>
        </is>
      </c>
      <c r="O2" s="7" t="inlineStr">
        <is>
          <t>Impact Score</t>
        </is>
      </c>
      <c r="P2" s="4" t="inlineStr">
        <is>
          <t>Feasibility Score</t>
        </is>
      </c>
      <c r="Q2" s="67" t="inlineStr">
        <is>
          <t>AI Opportunity Score</t>
        </is>
      </c>
    </row>
    <row r="3">
      <c r="A3" s="3" t="inlineStr">
        <is>
          <t>Supply Chain</t>
        </is>
      </c>
      <c r="B3" s="3" t="inlineStr">
        <is>
          <t>Demand Forecasting</t>
        </is>
      </c>
      <c r="C3" s="3" t="inlineStr">
        <is>
          <t>Reduce Cost</t>
        </is>
      </c>
      <c r="D3" s="6" t="inlineStr">
        <is>
          <t>Supply Chain, Planning</t>
        </is>
      </c>
      <c r="E3" s="51" t="n"/>
      <c r="F3" s="3" t="n"/>
      <c r="G3" s="3" t="n"/>
      <c r="H3" s="52" t="n"/>
      <c r="I3" s="8" t="n"/>
      <c r="J3" s="8" t="n"/>
      <c r="K3" s="3" t="n"/>
      <c r="L3" s="3" t="n"/>
      <c r="M3" s="3" t="n"/>
      <c r="N3" s="63" t="n"/>
      <c r="O3" s="42">
        <f>E3*Weights!$B$2+'Assessment Template'!F3*Weights!$B$3+'Assessment Template'!G3*Weights!$B$4+'Assessment Template'!H3*Weights!$B$5</f>
        <v/>
      </c>
      <c r="P3" s="43">
        <f>I3*Weights!$B$8+J3*Weights!$B$9+(100-'Assessment Template'!K3)*Weights!$B$10+(100-'Assessment Template'!L3)*Weights!$B$11+(100-'Assessment Template'!M3)*Weights!$B$12+(100-'Assessment Template'!N3)*Weights!$B$13</f>
        <v/>
      </c>
      <c r="Q3" s="68">
        <f>O3*Weights!$B$16+(P3*Weights!$B$17)</f>
        <v/>
      </c>
      <c r="Y3" s="10" t="n"/>
    </row>
    <row r="4">
      <c r="A4" s="3" t="inlineStr">
        <is>
          <t>Supply Chain</t>
        </is>
      </c>
      <c r="B4" s="3" t="inlineStr">
        <is>
          <t>Inventory Optimization</t>
        </is>
      </c>
      <c r="C4" s="3" t="inlineStr">
        <is>
          <t>Reduce Cost</t>
        </is>
      </c>
      <c r="D4" s="6" t="inlineStr">
        <is>
          <t>Supply Chain, Merchandising</t>
        </is>
      </c>
      <c r="E4" s="51" t="n"/>
      <c r="F4" s="3" t="n"/>
      <c r="G4" s="3" t="n"/>
      <c r="H4" s="52" t="n"/>
      <c r="I4" s="8" t="n"/>
      <c r="J4" s="8" t="n"/>
      <c r="K4" s="3" t="n"/>
      <c r="L4" s="3" t="n"/>
      <c r="M4" s="3" t="n"/>
      <c r="N4" s="63" t="n"/>
      <c r="O4" s="42">
        <f>E4*Weights!$B$2+'Assessment Template'!F4*Weights!$B$3+'Assessment Template'!G4*Weights!$B$4+'Assessment Template'!H4*Weights!$B$5</f>
        <v/>
      </c>
      <c r="P4" s="43">
        <f>I4*Weights!$B$8+J4*Weights!$B$9+(100-'Assessment Template'!K4)*Weights!$B$10+(100-'Assessment Template'!L4)*Weights!$B$11+(100-'Assessment Template'!M4)*Weights!$B$12+(100-'Assessment Template'!N4)*Weights!$B$13</f>
        <v/>
      </c>
      <c r="Q4" s="68">
        <f>O4*Weights!$B$16+(P4*Weights!$B$17)</f>
        <v/>
      </c>
      <c r="Y4" s="10" t="n"/>
    </row>
    <row r="5">
      <c r="A5" s="3" t="inlineStr">
        <is>
          <t>Supply Chain</t>
        </is>
      </c>
      <c r="B5" s="3" t="inlineStr">
        <is>
          <t>Automated Replenishment Recommendations</t>
        </is>
      </c>
      <c r="C5" s="3" t="inlineStr">
        <is>
          <t>Improve Operational Efficiency</t>
        </is>
      </c>
      <c r="D5" s="6" t="inlineStr">
        <is>
          <t>Supply Chain</t>
        </is>
      </c>
      <c r="E5" s="51" t="n"/>
      <c r="F5" s="3" t="n"/>
      <c r="G5" s="3" t="n"/>
      <c r="H5" s="52" t="n"/>
      <c r="I5" s="8" t="n"/>
      <c r="J5" s="8" t="n"/>
      <c r="K5" s="3" t="n"/>
      <c r="L5" s="3" t="n"/>
      <c r="M5" s="3" t="n"/>
      <c r="N5" s="63" t="n"/>
      <c r="O5" s="42">
        <f>E5*Weights!$B$2+'Assessment Template'!F5*Weights!$B$3+'Assessment Template'!G5*Weights!$B$4+'Assessment Template'!H5*Weights!$B$5</f>
        <v/>
      </c>
      <c r="P5" s="43">
        <f>I5*Weights!$B$8+J5*Weights!$B$9+(100-'Assessment Template'!K5)*Weights!$B$10+(100-'Assessment Template'!L5)*Weights!$B$11+(100-'Assessment Template'!M5)*Weights!$B$12+(100-'Assessment Template'!N5)*Weights!$B$13</f>
        <v/>
      </c>
      <c r="Q5" s="68">
        <f>O5*Weights!$B$16+(P5*Weights!$B$17)</f>
        <v/>
      </c>
      <c r="Y5" s="10" t="n"/>
    </row>
    <row r="6">
      <c r="A6" s="3" t="inlineStr">
        <is>
          <t>Supply Chain</t>
        </is>
      </c>
      <c r="B6" s="3" t="inlineStr">
        <is>
          <t>Stock Transfer Optimization</t>
        </is>
      </c>
      <c r="C6" s="3" t="inlineStr">
        <is>
          <t>Reduce Cost</t>
        </is>
      </c>
      <c r="D6" s="6" t="inlineStr">
        <is>
          <t>Supply Chain, Logistics</t>
        </is>
      </c>
      <c r="E6" s="51" t="n"/>
      <c r="F6" s="3" t="n"/>
      <c r="G6" s="3" t="n"/>
      <c r="H6" s="52" t="n"/>
      <c r="I6" s="8" t="n"/>
      <c r="J6" s="8" t="n"/>
      <c r="K6" s="3" t="n"/>
      <c r="L6" s="3" t="n"/>
      <c r="M6" s="3" t="n"/>
      <c r="N6" s="63" t="n"/>
      <c r="O6" s="42">
        <f>E6*Weights!$B$2+'Assessment Template'!F6*Weights!$B$3+'Assessment Template'!G6*Weights!$B$4+'Assessment Template'!H6*Weights!$B$5</f>
        <v/>
      </c>
      <c r="P6" s="43">
        <f>I6*Weights!$B$8+J6*Weights!$B$9+(100-'Assessment Template'!K6)*Weights!$B$10+(100-'Assessment Template'!L6)*Weights!$B$11+(100-'Assessment Template'!M6)*Weights!$B$12+(100-'Assessment Template'!N6)*Weights!$B$13</f>
        <v/>
      </c>
      <c r="Q6" s="68">
        <f>O6*Weights!$B$16+(P6*Weights!$B$17)</f>
        <v/>
      </c>
      <c r="Y6" s="10" t="n"/>
    </row>
    <row r="7">
      <c r="A7" s="3" t="inlineStr">
        <is>
          <t>Supply Chain</t>
        </is>
      </c>
      <c r="B7" s="3" t="inlineStr">
        <is>
          <t>Supplier Risk Monitoring</t>
        </is>
      </c>
      <c r="C7" s="3" t="inlineStr">
        <is>
          <t>Reduce Risk</t>
        </is>
      </c>
      <c r="D7" s="6" t="inlineStr">
        <is>
          <t>Procurement</t>
        </is>
      </c>
      <c r="E7" s="51" t="n"/>
      <c r="F7" s="3" t="n"/>
      <c r="G7" s="3" t="n"/>
      <c r="H7" s="52" t="n"/>
      <c r="I7" s="8" t="n"/>
      <c r="J7" s="8" t="n"/>
      <c r="K7" s="3" t="n"/>
      <c r="L7" s="3" t="n"/>
      <c r="M7" s="3" t="n"/>
      <c r="N7" s="63" t="n"/>
      <c r="O7" s="42">
        <f>E7*Weights!$B$2+'Assessment Template'!F7*Weights!$B$3+'Assessment Template'!G7*Weights!$B$4+'Assessment Template'!H7*Weights!$B$5</f>
        <v/>
      </c>
      <c r="P7" s="43">
        <f>I7*Weights!$B$8+J7*Weights!$B$9+(100-'Assessment Template'!K7)*Weights!$B$10+(100-'Assessment Template'!L7)*Weights!$B$11+(100-'Assessment Template'!M7)*Weights!$B$12+(100-'Assessment Template'!N7)*Weights!$B$13</f>
        <v/>
      </c>
      <c r="Q7" s="68">
        <f>O7*Weights!$B$16+(P7*Weights!$B$17)</f>
        <v/>
      </c>
      <c r="Y7" s="11" t="n"/>
    </row>
    <row r="8">
      <c r="A8" s="3" t="inlineStr">
        <is>
          <t>Supply Chain</t>
        </is>
      </c>
      <c r="B8" s="3" t="inlineStr">
        <is>
          <t>Distribution Center Labor Optimization</t>
        </is>
      </c>
      <c r="C8" s="3" t="inlineStr">
        <is>
          <t>Improve Operational Efficiency</t>
        </is>
      </c>
      <c r="D8" s="6" t="inlineStr">
        <is>
          <t>Distribution Operations</t>
        </is>
      </c>
      <c r="E8" s="51" t="n"/>
      <c r="F8" s="3" t="n"/>
      <c r="G8" s="3" t="n"/>
      <c r="H8" s="52" t="n"/>
      <c r="I8" s="8" t="n"/>
      <c r="J8" s="8" t="n"/>
      <c r="K8" s="3" t="n"/>
      <c r="L8" s="3" t="n"/>
      <c r="M8" s="3" t="n"/>
      <c r="N8" s="63" t="n"/>
      <c r="O8" s="42">
        <f>E8*Weights!$B$2+'Assessment Template'!F8*Weights!$B$3+'Assessment Template'!G8*Weights!$B$4+'Assessment Template'!H8*Weights!$B$5</f>
        <v/>
      </c>
      <c r="P8" s="43">
        <f>I8*Weights!$B$8+J8*Weights!$B$9+(100-'Assessment Template'!K8)*Weights!$B$10+(100-'Assessment Template'!L8)*Weights!$B$11+(100-'Assessment Template'!M8)*Weights!$B$12+(100-'Assessment Template'!N8)*Weights!$B$13</f>
        <v/>
      </c>
      <c r="Q8" s="68">
        <f>O8*Weights!$B$16+(P8*Weights!$B$17)</f>
        <v/>
      </c>
      <c r="Y8" s="10" t="n"/>
    </row>
    <row r="9">
      <c r="A9" s="3" t="inlineStr">
        <is>
          <t>Store &amp; Retail Operations</t>
        </is>
      </c>
      <c r="B9" s="3" t="inlineStr">
        <is>
          <t>Workforce Scheduling Optimization</t>
        </is>
      </c>
      <c r="C9" s="3" t="inlineStr">
        <is>
          <t>Reduce Cost</t>
        </is>
      </c>
      <c r="D9" s="6" t="inlineStr">
        <is>
          <t>Store Operations</t>
        </is>
      </c>
      <c r="E9" s="51" t="n"/>
      <c r="F9" s="3" t="n"/>
      <c r="G9" s="3" t="n"/>
      <c r="H9" s="52" t="n"/>
      <c r="I9" s="8" t="n"/>
      <c r="J9" s="8" t="n"/>
      <c r="K9" s="3" t="n"/>
      <c r="L9" s="3" t="n"/>
      <c r="M9" s="3" t="n"/>
      <c r="N9" s="63" t="n"/>
      <c r="O9" s="42">
        <f>E9*Weights!$B$2+'Assessment Template'!F9*Weights!$B$3+'Assessment Template'!G9*Weights!$B$4+'Assessment Template'!H9*Weights!$B$5</f>
        <v/>
      </c>
      <c r="P9" s="43">
        <f>I9*Weights!$B$8+J9*Weights!$B$9+(100-'Assessment Template'!K9)*Weights!$B$10+(100-'Assessment Template'!L9)*Weights!$B$11+(100-'Assessment Template'!M9)*Weights!$B$12+(100-'Assessment Template'!N9)*Weights!$B$13</f>
        <v/>
      </c>
      <c r="Q9" s="68">
        <f>O9*Weights!$B$16+(P9*Weights!$B$17)</f>
        <v/>
      </c>
      <c r="Y9" s="10" t="n"/>
    </row>
    <row r="10">
      <c r="A10" s="3" t="inlineStr">
        <is>
          <t>Store &amp; Retail Operations</t>
        </is>
      </c>
      <c r="B10" s="3" t="inlineStr">
        <is>
          <t>Store Manager Copilot</t>
        </is>
      </c>
      <c r="C10" s="3" t="inlineStr">
        <is>
          <t>Improve Employee Productivity</t>
        </is>
      </c>
      <c r="D10" s="6" t="inlineStr">
        <is>
          <t>Store Operations</t>
        </is>
      </c>
      <c r="E10" s="51" t="n"/>
      <c r="F10" s="3" t="n"/>
      <c r="G10" s="3" t="n"/>
      <c r="H10" s="52" t="n"/>
      <c r="I10" s="8" t="n"/>
      <c r="J10" s="8" t="n"/>
      <c r="K10" s="3" t="n"/>
      <c r="L10" s="3" t="n"/>
      <c r="M10" s="3" t="n"/>
      <c r="N10" s="63" t="n"/>
      <c r="O10" s="42">
        <f>E10*Weights!$B$2+'Assessment Template'!F10*Weights!$B$3+'Assessment Template'!G10*Weights!$B$4+'Assessment Template'!H10*Weights!$B$5</f>
        <v/>
      </c>
      <c r="P10" s="43">
        <f>I10*Weights!$B$8+J10*Weights!$B$9+(100-'Assessment Template'!K10)*Weights!$B$10+(100-'Assessment Template'!L10)*Weights!$B$11+(100-'Assessment Template'!M10)*Weights!$B$12+(100-'Assessment Template'!N10)*Weights!$B$13</f>
        <v/>
      </c>
      <c r="Q10" s="68">
        <f>O10*Weights!$B$16+(P10*Weights!$B$17)</f>
        <v/>
      </c>
      <c r="Y10" s="10" t="n"/>
    </row>
    <row r="11">
      <c r="A11" s="3" t="inlineStr">
        <is>
          <t>Store &amp; Retail Operations</t>
        </is>
      </c>
      <c r="B11" s="3" t="inlineStr">
        <is>
          <t>Task Prioritization Assistant</t>
        </is>
      </c>
      <c r="C11" s="3" t="inlineStr">
        <is>
          <t>Improve Operational Efficiency</t>
        </is>
      </c>
      <c r="D11" s="6" t="inlineStr">
        <is>
          <t>Store Operations</t>
        </is>
      </c>
      <c r="E11" s="51" t="n"/>
      <c r="F11" s="3" t="n"/>
      <c r="G11" s="3" t="n"/>
      <c r="H11" s="52" t="n"/>
      <c r="I11" s="8" t="n"/>
      <c r="J11" s="8" t="n"/>
      <c r="K11" s="3" t="n"/>
      <c r="L11" s="3" t="n"/>
      <c r="M11" s="3" t="n"/>
      <c r="N11" s="63" t="n"/>
      <c r="O11" s="42">
        <f>E11*Weights!$B$2+'Assessment Template'!F11*Weights!$B$3+'Assessment Template'!G11*Weights!$B$4+'Assessment Template'!H11*Weights!$B$5</f>
        <v/>
      </c>
      <c r="P11" s="43">
        <f>I11*Weights!$B$8+J11*Weights!$B$9+(100-'Assessment Template'!K11)*Weights!$B$10+(100-'Assessment Template'!L11)*Weights!$B$11+(100-'Assessment Template'!M11)*Weights!$B$12+(100-'Assessment Template'!N11)*Weights!$B$13</f>
        <v/>
      </c>
      <c r="Q11" s="68">
        <f>O11*Weights!$B$16+(P11*Weights!$B$17)</f>
        <v/>
      </c>
      <c r="Y11" s="10" t="n"/>
    </row>
    <row r="12">
      <c r="A12" s="3" t="inlineStr">
        <is>
          <t>Store &amp; Retail Operations</t>
        </is>
      </c>
      <c r="B12" s="3" t="inlineStr">
        <is>
          <t>Loss Prevention Anomaly Detection</t>
        </is>
      </c>
      <c r="C12" s="3" t="inlineStr">
        <is>
          <t>Reduce Risk</t>
        </is>
      </c>
      <c r="D12" s="6" t="inlineStr">
        <is>
          <t>Asset Protection</t>
        </is>
      </c>
      <c r="E12" s="51" t="n"/>
      <c r="F12" s="3" t="n"/>
      <c r="G12" s="3" t="n"/>
      <c r="H12" s="52" t="n"/>
      <c r="I12" s="8" t="n"/>
      <c r="J12" s="8" t="n"/>
      <c r="K12" s="3" t="n"/>
      <c r="L12" s="3" t="n"/>
      <c r="M12" s="3" t="n"/>
      <c r="N12" s="63" t="n"/>
      <c r="O12" s="42">
        <f>E12*Weights!$B$2+'Assessment Template'!F12*Weights!$B$3+'Assessment Template'!G12*Weights!$B$4+'Assessment Template'!H12*Weights!$B$5</f>
        <v/>
      </c>
      <c r="P12" s="43">
        <f>I12*Weights!$B$8+J12*Weights!$B$9+(100-'Assessment Template'!K12)*Weights!$B$10+(100-'Assessment Template'!L12)*Weights!$B$11+(100-'Assessment Template'!M12)*Weights!$B$12+(100-'Assessment Template'!N12)*Weights!$B$13</f>
        <v/>
      </c>
      <c r="Q12" s="68">
        <f>O12*Weights!$B$16+(P12*Weights!$B$17)</f>
        <v/>
      </c>
      <c r="Y12" s="11" t="n"/>
    </row>
    <row r="13">
      <c r="A13" s="3" t="inlineStr">
        <is>
          <t>Store &amp; Retail Operations</t>
        </is>
      </c>
      <c r="B13" s="3" t="inlineStr">
        <is>
          <t>In-Store Associate Copilot</t>
        </is>
      </c>
      <c r="C13" s="3" t="inlineStr">
        <is>
          <t>Improve Customer Experience</t>
        </is>
      </c>
      <c r="D13" s="6" t="inlineStr">
        <is>
          <t>Store Operations</t>
        </is>
      </c>
      <c r="E13" s="51" t="n"/>
      <c r="F13" s="3" t="n"/>
      <c r="G13" s="3" t="n"/>
      <c r="H13" s="52" t="n"/>
      <c r="I13" s="8" t="n"/>
      <c r="J13" s="8" t="n"/>
      <c r="K13" s="3" t="n"/>
      <c r="L13" s="3" t="n"/>
      <c r="M13" s="3" t="n"/>
      <c r="N13" s="63" t="n"/>
      <c r="O13" s="42">
        <f>E13*Weights!$B$2+'Assessment Template'!F13*Weights!$B$3+'Assessment Template'!G13*Weights!$B$4+'Assessment Template'!H13*Weights!$B$5</f>
        <v/>
      </c>
      <c r="P13" s="43">
        <f>I13*Weights!$B$8+J13*Weights!$B$9+(100-'Assessment Template'!K13)*Weights!$B$10+(100-'Assessment Template'!L13)*Weights!$B$11+(100-'Assessment Template'!M13)*Weights!$B$12+(100-'Assessment Template'!N13)*Weights!$B$13</f>
        <v/>
      </c>
      <c r="Q13" s="68">
        <f>O13*Weights!$B$16+(P13*Weights!$B$17)</f>
        <v/>
      </c>
      <c r="Y13" s="10" t="n"/>
    </row>
    <row r="14">
      <c r="A14" s="3" t="inlineStr">
        <is>
          <t>Store &amp; Retail Operations</t>
        </is>
      </c>
      <c r="B14" s="3" t="inlineStr">
        <is>
          <t>Energy Consumption Optimization</t>
        </is>
      </c>
      <c r="C14" s="3" t="inlineStr">
        <is>
          <t>Reduce Cost</t>
        </is>
      </c>
      <c r="D14" s="6" t="inlineStr">
        <is>
          <t>Facilities</t>
        </is>
      </c>
      <c r="E14" s="51" t="n"/>
      <c r="F14" s="3" t="n"/>
      <c r="G14" s="3" t="n"/>
      <c r="H14" s="52" t="n"/>
      <c r="I14" s="8" t="n"/>
      <c r="J14" s="8" t="n"/>
      <c r="K14" s="3" t="n"/>
      <c r="L14" s="3" t="n"/>
      <c r="M14" s="3" t="n"/>
      <c r="N14" s="63" t="n"/>
      <c r="O14" s="42">
        <f>E14*Weights!$B$2+'Assessment Template'!F14*Weights!$B$3+'Assessment Template'!G14*Weights!$B$4+'Assessment Template'!H14*Weights!$B$5</f>
        <v/>
      </c>
      <c r="P14" s="43">
        <f>I14*Weights!$B$8+J14*Weights!$B$9+(100-'Assessment Template'!K14)*Weights!$B$10+(100-'Assessment Template'!L14)*Weights!$B$11+(100-'Assessment Template'!M14)*Weights!$B$12+(100-'Assessment Template'!N14)*Weights!$B$13</f>
        <v/>
      </c>
      <c r="Q14" s="68">
        <f>O14*Weights!$B$16+(P14*Weights!$B$17)</f>
        <v/>
      </c>
    </row>
    <row r="15">
      <c r="A15" s="3" t="inlineStr">
        <is>
          <t>Marketing &amp; Branding</t>
        </is>
      </c>
      <c r="B15" s="3" t="inlineStr">
        <is>
          <t>Customer Segmentation AI</t>
        </is>
      </c>
      <c r="C15" s="3" t="inlineStr">
        <is>
          <t>Increase Revenue</t>
        </is>
      </c>
      <c r="D15" s="6" t="inlineStr">
        <is>
          <t>Marketing</t>
        </is>
      </c>
      <c r="E15" s="51" t="n"/>
      <c r="F15" s="3" t="n"/>
      <c r="G15" s="3" t="n"/>
      <c r="H15" s="52" t="n"/>
      <c r="I15" s="8" t="n"/>
      <c r="J15" s="8" t="n"/>
      <c r="K15" s="3" t="n"/>
      <c r="L15" s="3" t="n"/>
      <c r="M15" s="3" t="n"/>
      <c r="N15" s="63" t="n"/>
      <c r="O15" s="42">
        <f>E15*Weights!$B$2+'Assessment Template'!F15*Weights!$B$3+'Assessment Template'!G15*Weights!$B$4+'Assessment Template'!H15*Weights!$B$5</f>
        <v/>
      </c>
      <c r="P15" s="43">
        <f>I15*Weights!$B$8+J15*Weights!$B$9+(100-'Assessment Template'!K15)*Weights!$B$10+(100-'Assessment Template'!L15)*Weights!$B$11+(100-'Assessment Template'!M15)*Weights!$B$12+(100-'Assessment Template'!N15)*Weights!$B$13</f>
        <v/>
      </c>
      <c r="Q15" s="68">
        <f>O15*Weights!$B$16+(P15*Weights!$B$17)</f>
        <v/>
      </c>
    </row>
    <row r="16">
      <c r="A16" s="3" t="inlineStr">
        <is>
          <t>Marketing &amp; Branding</t>
        </is>
      </c>
      <c r="B16" s="3" t="inlineStr">
        <is>
          <t>Marketing Asset Generation</t>
        </is>
      </c>
      <c r="C16" s="3" t="inlineStr">
        <is>
          <t>Reduce Cost</t>
        </is>
      </c>
      <c r="D16" s="6" t="inlineStr">
        <is>
          <t>Creative Services</t>
        </is>
      </c>
      <c r="E16" s="51" t="n"/>
      <c r="F16" s="3" t="n"/>
      <c r="G16" s="3" t="n"/>
      <c r="H16" s="52" t="n"/>
      <c r="I16" s="8" t="n"/>
      <c r="J16" s="8" t="n"/>
      <c r="K16" s="3" t="n"/>
      <c r="L16" s="3" t="n"/>
      <c r="M16" s="3" t="n"/>
      <c r="N16" s="63" t="n"/>
      <c r="O16" s="42">
        <f>E16*Weights!$B$2+'Assessment Template'!F16*Weights!$B$3+'Assessment Template'!G16*Weights!$B$4+'Assessment Template'!H16*Weights!$B$5</f>
        <v/>
      </c>
      <c r="P16" s="43">
        <f>I16*Weights!$B$8+J16*Weights!$B$9+(100-'Assessment Template'!K16)*Weights!$B$10+(100-'Assessment Template'!L16)*Weights!$B$11+(100-'Assessment Template'!M16)*Weights!$B$12+(100-'Assessment Template'!N16)*Weights!$B$13</f>
        <v/>
      </c>
      <c r="Q16" s="68">
        <f>O16*Weights!$B$16+(P16*Weights!$B$17)</f>
        <v/>
      </c>
    </row>
    <row r="17">
      <c r="A17" s="3" t="inlineStr">
        <is>
          <t>Marketing &amp; Branding</t>
        </is>
      </c>
      <c r="B17" s="3" t="inlineStr">
        <is>
          <t>Campaign Performance Optimization</t>
        </is>
      </c>
      <c r="C17" s="3" t="inlineStr">
        <is>
          <t>Improve Operational Efficiency</t>
        </is>
      </c>
      <c r="D17" s="6" t="inlineStr">
        <is>
          <t>Marketing</t>
        </is>
      </c>
      <c r="E17" s="51" t="n"/>
      <c r="F17" s="3" t="n"/>
      <c r="G17" s="3" t="n"/>
      <c r="H17" s="52" t="n"/>
      <c r="I17" s="8" t="n"/>
      <c r="J17" s="8" t="n"/>
      <c r="K17" s="3" t="n"/>
      <c r="L17" s="3" t="n"/>
      <c r="M17" s="3" t="n"/>
      <c r="N17" s="63" t="n"/>
      <c r="O17" s="42">
        <f>E17*Weights!$B$2+'Assessment Template'!F17*Weights!$B$3+'Assessment Template'!G17*Weights!$B$4+'Assessment Template'!H17*Weights!$B$5</f>
        <v/>
      </c>
      <c r="P17" s="43">
        <f>I17*Weights!$B$8+J17*Weights!$B$9+(100-'Assessment Template'!K17)*Weights!$B$10+(100-'Assessment Template'!L17)*Weights!$B$11+(100-'Assessment Template'!M17)*Weights!$B$12+(100-'Assessment Template'!N17)*Weights!$B$13</f>
        <v/>
      </c>
      <c r="Q17" s="68">
        <f>O17*Weights!$B$16+(P17*Weights!$B$17)</f>
        <v/>
      </c>
    </row>
    <row r="18">
      <c r="A18" s="3" t="inlineStr">
        <is>
          <t>Marketing &amp; Branding</t>
        </is>
      </c>
      <c r="B18" s="3" t="inlineStr">
        <is>
          <t>Trend Detection &amp; Social Listening</t>
        </is>
      </c>
      <c r="C18" s="3" t="inlineStr">
        <is>
          <t>Win Younger Audience</t>
        </is>
      </c>
      <c r="D18" s="6" t="inlineStr">
        <is>
          <t>Marketing</t>
        </is>
      </c>
      <c r="E18" s="51" t="n"/>
      <c r="F18" s="3" t="n"/>
      <c r="G18" s="3" t="n"/>
      <c r="H18" s="52" t="n"/>
      <c r="I18" s="8" t="n"/>
      <c r="J18" s="8" t="n"/>
      <c r="K18" s="3" t="n"/>
      <c r="L18" s="3" t="n"/>
      <c r="M18" s="3" t="n"/>
      <c r="N18" s="63" t="n"/>
      <c r="O18" s="42">
        <f>E18*Weights!$B$2+'Assessment Template'!F18*Weights!$B$3+'Assessment Template'!G18*Weights!$B$4+'Assessment Template'!H18*Weights!$B$5</f>
        <v/>
      </c>
      <c r="P18" s="43">
        <f>I18*Weights!$B$8+J18*Weights!$B$9+(100-'Assessment Template'!K18)*Weights!$B$10+(100-'Assessment Template'!L18)*Weights!$B$11+(100-'Assessment Template'!M18)*Weights!$B$12+(100-'Assessment Template'!N18)*Weights!$B$13</f>
        <v/>
      </c>
      <c r="Q18" s="68">
        <f>O18*Weights!$B$16+(P18*Weights!$B$17)</f>
        <v/>
      </c>
    </row>
    <row r="19">
      <c r="A19" s="3" t="inlineStr">
        <is>
          <t>Marketing &amp; Branding</t>
        </is>
      </c>
      <c r="B19" s="3" t="inlineStr">
        <is>
          <t>Competitive Intelligence Assistant</t>
        </is>
      </c>
      <c r="C19" s="3" t="inlineStr">
        <is>
          <t>Protect/Grow Market Share</t>
        </is>
      </c>
      <c r="D19" s="6" t="inlineStr">
        <is>
          <t>Marketing</t>
        </is>
      </c>
      <c r="E19" s="51" t="n"/>
      <c r="F19" s="3" t="n"/>
      <c r="G19" s="3" t="n"/>
      <c r="H19" s="52" t="n"/>
      <c r="I19" s="8" t="n"/>
      <c r="J19" s="8" t="n"/>
      <c r="K19" s="3" t="n"/>
      <c r="L19" s="3" t="n"/>
      <c r="M19" s="3" t="n"/>
      <c r="N19" s="63" t="n"/>
      <c r="O19" s="42">
        <f>E19*Weights!$B$2+'Assessment Template'!F19*Weights!$B$3+'Assessment Template'!G19*Weights!$B$4+'Assessment Template'!H19*Weights!$B$5</f>
        <v/>
      </c>
      <c r="P19" s="43">
        <f>I19*Weights!$B$8+J19*Weights!$B$9+(100-'Assessment Template'!K19)*Weights!$B$10+(100-'Assessment Template'!L19)*Weights!$B$11+(100-'Assessment Template'!M19)*Weights!$B$12+(100-'Assessment Template'!N19)*Weights!$B$13</f>
        <v/>
      </c>
      <c r="Q19" s="68">
        <f>O19*Weights!$B$16+(P19*Weights!$B$17)</f>
        <v/>
      </c>
    </row>
    <row r="20">
      <c r="A20" s="3" t="inlineStr">
        <is>
          <t>Marketing &amp; Branding</t>
        </is>
      </c>
      <c r="B20" s="3" t="inlineStr">
        <is>
          <t>Personalized Offer Generation</t>
        </is>
      </c>
      <c r="C20" s="3" t="inlineStr">
        <is>
          <t>Increase Loyalty</t>
        </is>
      </c>
      <c r="D20" s="6" t="inlineStr">
        <is>
          <t>CRM / Marketing</t>
        </is>
      </c>
      <c r="E20" s="51" t="n"/>
      <c r="F20" s="3" t="n"/>
      <c r="G20" s="3" t="n"/>
      <c r="H20" s="52" t="n"/>
      <c r="I20" s="8" t="n"/>
      <c r="J20" s="8" t="n"/>
      <c r="K20" s="3" t="n"/>
      <c r="L20" s="3" t="n"/>
      <c r="M20" s="3" t="n"/>
      <c r="N20" s="63" t="n"/>
      <c r="O20" s="42">
        <f>E20*Weights!$B$2+'Assessment Template'!F20*Weights!$B$3+'Assessment Template'!G20*Weights!$B$4+'Assessment Template'!H20*Weights!$B$5</f>
        <v/>
      </c>
      <c r="P20" s="43">
        <f>I20*Weights!$B$8+J20*Weights!$B$9+(100-'Assessment Template'!K20)*Weights!$B$10+(100-'Assessment Template'!L20)*Weights!$B$11+(100-'Assessment Template'!M20)*Weights!$B$12+(100-'Assessment Template'!N20)*Weights!$B$13</f>
        <v/>
      </c>
      <c r="Q20" s="68">
        <f>O20*Weights!$B$16+(P20*Weights!$B$17)</f>
        <v/>
      </c>
    </row>
    <row r="21">
      <c r="A21" s="3" t="inlineStr">
        <is>
          <t>eCommerce</t>
        </is>
      </c>
      <c r="B21" s="3" t="inlineStr">
        <is>
          <t>Product Recommendation Engine</t>
        </is>
      </c>
      <c r="C21" s="3" t="inlineStr">
        <is>
          <t>Increase Revenue</t>
        </is>
      </c>
      <c r="D21" s="6" t="inlineStr">
        <is>
          <t>Digital Commerce</t>
        </is>
      </c>
      <c r="E21" s="51" t="n"/>
      <c r="F21" s="3" t="n"/>
      <c r="G21" s="3" t="n"/>
      <c r="H21" s="52" t="n"/>
      <c r="I21" s="8" t="n"/>
      <c r="J21" s="8" t="n"/>
      <c r="K21" s="3" t="n"/>
      <c r="L21" s="3" t="n"/>
      <c r="M21" s="3" t="n"/>
      <c r="N21" s="63" t="n"/>
      <c r="O21" s="42">
        <f>E21*Weights!$B$2+'Assessment Template'!F21*Weights!$B$3+'Assessment Template'!G21*Weights!$B$4+'Assessment Template'!H21*Weights!$B$5</f>
        <v/>
      </c>
      <c r="P21" s="43">
        <f>I21*Weights!$B$8+J21*Weights!$B$9+(100-'Assessment Template'!K21)*Weights!$B$10+(100-'Assessment Template'!L21)*Weights!$B$11+(100-'Assessment Template'!M21)*Weights!$B$12+(100-'Assessment Template'!N21)*Weights!$B$13</f>
        <v/>
      </c>
      <c r="Q21" s="68">
        <f>O21*Weights!$B$16+(P21*Weights!$B$17)</f>
        <v/>
      </c>
    </row>
    <row r="22">
      <c r="A22" s="3" t="inlineStr">
        <is>
          <t>eCommerce</t>
        </is>
      </c>
      <c r="B22" s="3" t="inlineStr">
        <is>
          <t>Dynamic Product Bundling</t>
        </is>
      </c>
      <c r="C22" s="3" t="inlineStr">
        <is>
          <t>Increase Revenue</t>
        </is>
      </c>
      <c r="D22" s="6" t="inlineStr">
        <is>
          <t>Digital Commerce</t>
        </is>
      </c>
      <c r="E22" s="51" t="n"/>
      <c r="F22" s="3" t="n"/>
      <c r="G22" s="3" t="n"/>
      <c r="H22" s="52" t="n"/>
      <c r="I22" s="8" t="n"/>
      <c r="J22" s="8" t="n"/>
      <c r="K22" s="3" t="n"/>
      <c r="L22" s="3" t="n"/>
      <c r="M22" s="3" t="n"/>
      <c r="N22" s="63" t="n"/>
      <c r="O22" s="42">
        <f>E22*Weights!$B$2+'Assessment Template'!F22*Weights!$B$3+'Assessment Template'!G22*Weights!$B$4+'Assessment Template'!H22*Weights!$B$5</f>
        <v/>
      </c>
      <c r="P22" s="43">
        <f>I22*Weights!$B$8+J22*Weights!$B$9+(100-'Assessment Template'!K22)*Weights!$B$10+(100-'Assessment Template'!L22)*Weights!$B$11+(100-'Assessment Template'!M22)*Weights!$B$12+(100-'Assessment Template'!N22)*Weights!$B$13</f>
        <v/>
      </c>
      <c r="Q22" s="68">
        <f>O22*Weights!$B$16+(P22*Weights!$B$17)</f>
        <v/>
      </c>
    </row>
    <row r="23">
      <c r="A23" s="3" t="inlineStr">
        <is>
          <t>eCommerce</t>
        </is>
      </c>
      <c r="B23" s="3" t="inlineStr">
        <is>
          <t>Conversational Shopping Assistant</t>
        </is>
      </c>
      <c r="C23" s="3" t="inlineStr">
        <is>
          <t>Improve Customer Experience</t>
        </is>
      </c>
      <c r="D23" s="6" t="inlineStr">
        <is>
          <t>Digital Commerce</t>
        </is>
      </c>
      <c r="E23" s="51" t="n"/>
      <c r="F23" s="3" t="n"/>
      <c r="G23" s="3" t="n"/>
      <c r="H23" s="52" t="n"/>
      <c r="I23" s="8" t="n"/>
      <c r="J23" s="8" t="n"/>
      <c r="K23" s="3" t="n"/>
      <c r="L23" s="3" t="n"/>
      <c r="M23" s="3" t="n"/>
      <c r="N23" s="63" t="n"/>
      <c r="O23" s="42">
        <f>E23*Weights!$B$2+'Assessment Template'!F23*Weights!$B$3+'Assessment Template'!G23*Weights!$B$4+'Assessment Template'!H23*Weights!$B$5</f>
        <v/>
      </c>
      <c r="P23" s="43">
        <f>I23*Weights!$B$8+J23*Weights!$B$9+(100-'Assessment Template'!K23)*Weights!$B$10+(100-'Assessment Template'!L23)*Weights!$B$11+(100-'Assessment Template'!M23)*Weights!$B$12+(100-'Assessment Template'!N23)*Weights!$B$13</f>
        <v/>
      </c>
      <c r="Q23" s="68">
        <f>O23*Weights!$B$16+(P23*Weights!$B$17)</f>
        <v/>
      </c>
    </row>
    <row r="24">
      <c r="A24" s="3" t="inlineStr">
        <is>
          <t>eCommerce</t>
        </is>
      </c>
      <c r="B24" s="3" t="inlineStr">
        <is>
          <t>Personalized Search Results</t>
        </is>
      </c>
      <c r="C24" s="3" t="inlineStr">
        <is>
          <t>Increase Revenue</t>
        </is>
      </c>
      <c r="D24" s="6" t="inlineStr">
        <is>
          <t>Digital Commerce</t>
        </is>
      </c>
      <c r="E24" s="51" t="n"/>
      <c r="F24" s="3" t="n"/>
      <c r="G24" s="3" t="n"/>
      <c r="H24" s="52" t="n"/>
      <c r="I24" s="8" t="n"/>
      <c r="J24" s="8" t="n"/>
      <c r="K24" s="3" t="n"/>
      <c r="L24" s="3" t="n"/>
      <c r="M24" s="3" t="n"/>
      <c r="N24" s="63" t="n"/>
      <c r="O24" s="42">
        <f>E24*Weights!$B$2+'Assessment Template'!F24*Weights!$B$3+'Assessment Template'!G24*Weights!$B$4+'Assessment Template'!H24*Weights!$B$5</f>
        <v/>
      </c>
      <c r="P24" s="43">
        <f>I24*Weights!$B$8+J24*Weights!$B$9+(100-'Assessment Template'!K24)*Weights!$B$10+(100-'Assessment Template'!L24)*Weights!$B$11+(100-'Assessment Template'!M24)*Weights!$B$12+(100-'Assessment Template'!N24)*Weights!$B$13</f>
        <v/>
      </c>
      <c r="Q24" s="68">
        <f>O24*Weights!$B$16+(P24*Weights!$B$17)</f>
        <v/>
      </c>
    </row>
    <row r="25">
      <c r="A25" s="3" t="inlineStr">
        <is>
          <t>eCommerce</t>
        </is>
      </c>
      <c r="B25" s="3" t="inlineStr">
        <is>
          <t>Return Prediction &amp; Prevention</t>
        </is>
      </c>
      <c r="C25" s="3" t="inlineStr">
        <is>
          <t>Reduce Cost</t>
        </is>
      </c>
      <c r="D25" s="6" t="inlineStr">
        <is>
          <t>Digital Commerce</t>
        </is>
      </c>
      <c r="E25" s="51" t="n"/>
      <c r="F25" s="3" t="n"/>
      <c r="G25" s="3" t="n"/>
      <c r="H25" s="52" t="n"/>
      <c r="I25" s="8" t="n"/>
      <c r="J25" s="8" t="n"/>
      <c r="K25" s="3" t="n"/>
      <c r="L25" s="3" t="n"/>
      <c r="M25" s="3" t="n"/>
      <c r="N25" s="63" t="n"/>
      <c r="O25" s="42">
        <f>E25*Weights!$B$2+'Assessment Template'!F25*Weights!$B$3+'Assessment Template'!G25*Weights!$B$4+'Assessment Template'!H25*Weights!$B$5</f>
        <v/>
      </c>
      <c r="P25" s="43">
        <f>I25*Weights!$B$8+J25*Weights!$B$9+(100-'Assessment Template'!K25)*Weights!$B$10+(100-'Assessment Template'!L25)*Weights!$B$11+(100-'Assessment Template'!M25)*Weights!$B$12+(100-'Assessment Template'!N25)*Weights!$B$13</f>
        <v/>
      </c>
      <c r="Q25" s="68">
        <f>O25*Weights!$B$16+(P25*Weights!$B$17)</f>
        <v/>
      </c>
    </row>
    <row r="26">
      <c r="A26" s="3" t="inlineStr">
        <is>
          <t>eCommerce</t>
        </is>
      </c>
      <c r="B26" s="3" t="inlineStr">
        <is>
          <t>AI Style Advisor</t>
        </is>
      </c>
      <c r="C26" s="2" t="inlineStr">
        <is>
          <t>Win Younger Audience</t>
        </is>
      </c>
      <c r="D26" s="6" t="inlineStr">
        <is>
          <t>Digital Commerce, Marketing</t>
        </is>
      </c>
      <c r="E26" s="51" t="n"/>
      <c r="F26" s="3" t="n"/>
      <c r="G26" s="3" t="n"/>
      <c r="H26" s="52" t="n"/>
      <c r="I26" s="8" t="n"/>
      <c r="J26" s="8" t="n"/>
      <c r="K26" s="3" t="n"/>
      <c r="L26" s="3" t="n"/>
      <c r="M26" s="3" t="n"/>
      <c r="N26" s="63" t="n"/>
      <c r="O26" s="42">
        <f>E26*Weights!$B$2+'Assessment Template'!F26*Weights!$B$3+'Assessment Template'!G26*Weights!$B$4+'Assessment Template'!H26*Weights!$B$5</f>
        <v/>
      </c>
      <c r="P26" s="43">
        <f>I26*Weights!$B$8+J26*Weights!$B$9+(100-'Assessment Template'!K26)*Weights!$B$10+(100-'Assessment Template'!L26)*Weights!$B$11+(100-'Assessment Template'!M26)*Weights!$B$12+(100-'Assessment Template'!N26)*Weights!$B$13</f>
        <v/>
      </c>
      <c r="Q26" s="68">
        <f>O26*Weights!$B$16+(P26*Weights!$B$17)</f>
        <v/>
      </c>
    </row>
    <row r="27" ht="30.75" customHeight="1" s="44">
      <c r="A27" s="45" t="inlineStr">
        <is>
          <t>Finance</t>
        </is>
      </c>
      <c r="B27" s="26" t="inlineStr">
        <is>
          <t>BLP</t>
        </is>
      </c>
      <c r="C27" s="38" t="inlineStr">
        <is>
          <t>Reduce cost &amp; errors involved in processing invoice</t>
        </is>
      </c>
      <c r="D27" s="61" t="inlineStr">
        <is>
          <t>Finance</t>
        </is>
      </c>
      <c r="E27" s="57" t="n">
        <v>20</v>
      </c>
      <c r="F27" s="26" t="n">
        <v>20</v>
      </c>
      <c r="G27" s="26" t="n">
        <v>0</v>
      </c>
      <c r="H27" s="58" t="n">
        <v>0</v>
      </c>
      <c r="I27" s="39" t="inlineStr">
        <is>
          <t>100</t>
        </is>
      </c>
      <c r="J27" s="26" t="n">
        <v>20</v>
      </c>
      <c r="K27" s="26" t="n">
        <v>65</v>
      </c>
      <c r="L27" s="26" t="n">
        <v>35</v>
      </c>
      <c r="M27" s="26" t="n">
        <v>10</v>
      </c>
      <c r="N27" s="58" t="n">
        <v>35</v>
      </c>
      <c r="O27" s="42">
        <f>E27*Weights!$B$2+'Assessment Template'!F27*Weights!$B$3+'Assessment Template'!G27*Weights!$B$4+'Assessment Template'!H27*Weights!$B$5</f>
        <v/>
      </c>
      <c r="P27" s="43">
        <f>I27*Weights!$B$8+J27*Weights!$B$9+(100-'Assessment Template'!K27)*Weights!$B$10+(100-'Assessment Template'!L27)*Weights!$B$11+(100-'Assessment Template'!M27)*Weights!$B$12+(100-'Assessment Template'!N27)*Weights!$B$13</f>
        <v/>
      </c>
      <c r="Q27" s="68">
        <f>O27*Weights!$B$16+(P27*Weights!$B$17)</f>
        <v/>
      </c>
    </row>
    <row r="28">
      <c r="A28" s="3" t="inlineStr">
        <is>
          <t>Finance</t>
        </is>
      </c>
      <c r="B28" s="3" t="inlineStr">
        <is>
          <t>Invoice Processing Automation</t>
        </is>
      </c>
      <c r="C28" s="3" t="inlineStr">
        <is>
          <t>Reduce Cost</t>
        </is>
      </c>
      <c r="D28" s="6" t="inlineStr">
        <is>
          <t>Finance</t>
        </is>
      </c>
      <c r="E28" s="51" t="n"/>
      <c r="F28" s="3" t="n"/>
      <c r="G28" s="3" t="n"/>
      <c r="H28" s="52" t="n"/>
      <c r="I28" s="8" t="n"/>
      <c r="J28" s="8" t="n"/>
      <c r="K28" s="3" t="n"/>
      <c r="L28" s="3" t="n"/>
      <c r="M28" s="3" t="n"/>
      <c r="N28" s="63" t="n"/>
      <c r="O28" s="42">
        <f>E28*Weights!$B$2+'Assessment Template'!F28*Weights!$B$3+'Assessment Template'!G28*Weights!$B$4+'Assessment Template'!H28*Weights!$B$5</f>
        <v/>
      </c>
      <c r="P28" s="43">
        <f>I28*Weights!$B$8+J28*Weights!$B$9+(100-'Assessment Template'!K28)*Weights!$B$10+(100-'Assessment Template'!L28)*Weights!$B$11+(100-'Assessment Template'!M28)*Weights!$B$12+(100-'Assessment Template'!N28)*Weights!$B$13</f>
        <v/>
      </c>
      <c r="Q28" s="68">
        <f>O28*Weights!$B$16+(P28*Weights!$B$17)</f>
        <v/>
      </c>
    </row>
    <row r="29">
      <c r="A29" s="3" t="inlineStr">
        <is>
          <t>Finance</t>
        </is>
      </c>
      <c r="B29" s="3" t="inlineStr">
        <is>
          <t>Financial Close Copilot</t>
        </is>
      </c>
      <c r="C29" s="3" t="inlineStr">
        <is>
          <t>Improve Operational Efficiency</t>
        </is>
      </c>
      <c r="D29" s="6" t="inlineStr">
        <is>
          <t>Finance</t>
        </is>
      </c>
      <c r="E29" s="51" t="n"/>
      <c r="F29" s="3" t="n"/>
      <c r="G29" s="3" t="n"/>
      <c r="H29" s="52" t="n"/>
      <c r="I29" s="8" t="n"/>
      <c r="J29" s="8" t="n"/>
      <c r="K29" s="3" t="n"/>
      <c r="L29" s="3" t="n"/>
      <c r="M29" s="3" t="n"/>
      <c r="N29" s="63" t="n"/>
      <c r="O29" s="42">
        <f>E29*Weights!$B$2+'Assessment Template'!F29*Weights!$B$3+'Assessment Template'!G29*Weights!$B$4+'Assessment Template'!H29*Weights!$B$5</f>
        <v/>
      </c>
      <c r="P29" s="43">
        <f>I29*Weights!$B$8+J29*Weights!$B$9+(100-'Assessment Template'!K29)*Weights!$B$10+(100-'Assessment Template'!L29)*Weights!$B$11+(100-'Assessment Template'!M29)*Weights!$B$12+(100-'Assessment Template'!N29)*Weights!$B$13</f>
        <v/>
      </c>
      <c r="Q29" s="68">
        <f>O29*Weights!$B$16+(P29*Weights!$B$17)</f>
        <v/>
      </c>
    </row>
    <row r="30">
      <c r="A30" s="3" t="inlineStr">
        <is>
          <t>Finance</t>
        </is>
      </c>
      <c r="B30" s="3" t="inlineStr">
        <is>
          <t>Fraud &amp; Anomaly Detection</t>
        </is>
      </c>
      <c r="C30" s="3" t="inlineStr">
        <is>
          <t>Reduce Risk</t>
        </is>
      </c>
      <c r="D30" s="6" t="inlineStr">
        <is>
          <t>Finance</t>
        </is>
      </c>
      <c r="E30" s="51" t="n"/>
      <c r="F30" s="3" t="n"/>
      <c r="G30" s="3" t="n"/>
      <c r="H30" s="52" t="n"/>
      <c r="I30" s="8" t="n"/>
      <c r="J30" s="8" t="n"/>
      <c r="K30" s="3" t="n"/>
      <c r="L30" s="3" t="n"/>
      <c r="M30" s="3" t="n"/>
      <c r="N30" s="63" t="n"/>
      <c r="O30" s="42">
        <f>E30*Weights!$B$2+'Assessment Template'!F30*Weights!$B$3+'Assessment Template'!G30*Weights!$B$4+'Assessment Template'!H30*Weights!$B$5</f>
        <v/>
      </c>
      <c r="P30" s="43">
        <f>I30*Weights!$B$8+J30*Weights!$B$9+(100-'Assessment Template'!K30)*Weights!$B$10+(100-'Assessment Template'!L30)*Weights!$B$11+(100-'Assessment Template'!M30)*Weights!$B$12+(100-'Assessment Template'!N30)*Weights!$B$13</f>
        <v/>
      </c>
      <c r="Q30" s="68">
        <f>O30*Weights!$B$16+(P30*Weights!$B$17)</f>
        <v/>
      </c>
    </row>
    <row r="31">
      <c r="A31" s="3" t="inlineStr">
        <is>
          <t>Finance</t>
        </is>
      </c>
      <c r="B31" s="3" t="inlineStr">
        <is>
          <t>Cash Flow Forecasting</t>
        </is>
      </c>
      <c r="C31" s="3" t="inlineStr">
        <is>
          <t>Improve Planning</t>
        </is>
      </c>
      <c r="D31" s="6" t="inlineStr">
        <is>
          <t>FP&amp;A</t>
        </is>
      </c>
      <c r="E31" s="51" t="n"/>
      <c r="F31" s="3" t="n"/>
      <c r="G31" s="3" t="n"/>
      <c r="H31" s="52" t="n"/>
      <c r="I31" s="8" t="n"/>
      <c r="J31" s="8" t="n"/>
      <c r="K31" s="3" t="n"/>
      <c r="L31" s="3" t="n"/>
      <c r="M31" s="3" t="n"/>
      <c r="N31" s="63" t="n"/>
      <c r="O31" s="42">
        <f>E31*Weights!$B$2+'Assessment Template'!F31*Weights!$B$3+'Assessment Template'!G31*Weights!$B$4+'Assessment Template'!H31*Weights!$B$5</f>
        <v/>
      </c>
      <c r="P31" s="43">
        <f>I31*Weights!$B$8+J31*Weights!$B$9+(100-'Assessment Template'!K31)*Weights!$B$10+(100-'Assessment Template'!L31)*Weights!$B$11+(100-'Assessment Template'!M31)*Weights!$B$12+(100-'Assessment Template'!N31)*Weights!$B$13</f>
        <v/>
      </c>
      <c r="Q31" s="68">
        <f>O31*Weights!$B$16+(P31*Weights!$B$17)</f>
        <v/>
      </c>
    </row>
    <row r="32">
      <c r="A32" s="3" t="inlineStr">
        <is>
          <t>Finance</t>
        </is>
      </c>
      <c r="B32" s="3" t="inlineStr">
        <is>
          <t>Vendor Spend Optimization</t>
        </is>
      </c>
      <c r="C32" s="3" t="inlineStr">
        <is>
          <t>Reduce Cost</t>
        </is>
      </c>
      <c r="D32" s="6" t="inlineStr">
        <is>
          <t>Procurement / Finance</t>
        </is>
      </c>
      <c r="E32" s="51" t="n"/>
      <c r="F32" s="3" t="n"/>
      <c r="G32" s="3" t="n"/>
      <c r="H32" s="52" t="n"/>
      <c r="I32" s="8" t="n"/>
      <c r="J32" s="8" t="n"/>
      <c r="K32" s="3" t="n"/>
      <c r="L32" s="3" t="n"/>
      <c r="M32" s="3" t="n"/>
      <c r="N32" s="63" t="n"/>
      <c r="O32" s="42">
        <f>E32*Weights!$B$2+'Assessment Template'!F32*Weights!$B$3+'Assessment Template'!G32*Weights!$B$4+'Assessment Template'!H32*Weights!$B$5</f>
        <v/>
      </c>
      <c r="P32" s="43">
        <f>I32*Weights!$B$8+J32*Weights!$B$9+(100-'Assessment Template'!K32)*Weights!$B$10+(100-'Assessment Template'!L32)*Weights!$B$11+(100-'Assessment Template'!M32)*Weights!$B$12+(100-'Assessment Template'!N32)*Weights!$B$13</f>
        <v/>
      </c>
      <c r="Q32" s="68">
        <f>O32*Weights!$B$16+(P32*Weights!$B$17)</f>
        <v/>
      </c>
    </row>
    <row r="33">
      <c r="A33" s="3" t="inlineStr">
        <is>
          <t>Finance</t>
        </is>
      </c>
      <c r="B33" s="3" t="inlineStr">
        <is>
          <t>Finance Analyst Copilot</t>
        </is>
      </c>
      <c r="C33" s="3" t="inlineStr">
        <is>
          <t>Improve Employee Productivity</t>
        </is>
      </c>
      <c r="D33" s="6" t="inlineStr">
        <is>
          <t>Finance</t>
        </is>
      </c>
      <c r="E33" s="51" t="n"/>
      <c r="F33" s="3" t="n"/>
      <c r="G33" s="3" t="n"/>
      <c r="H33" s="52" t="n"/>
      <c r="I33" s="8" t="n"/>
      <c r="J33" s="8" t="n"/>
      <c r="K33" s="3" t="n"/>
      <c r="L33" s="3" t="n"/>
      <c r="M33" s="3" t="n"/>
      <c r="N33" s="63" t="n"/>
      <c r="O33" s="42">
        <f>E33*Weights!$B$2+'Assessment Template'!F33*Weights!$B$3+'Assessment Template'!G33*Weights!$B$4+'Assessment Template'!H33*Weights!$B$5</f>
        <v/>
      </c>
      <c r="P33" s="43">
        <f>I33*Weights!$B$8+J33*Weights!$B$9+(100-'Assessment Template'!K33)*Weights!$B$10+(100-'Assessment Template'!L33)*Weights!$B$11+(100-'Assessment Template'!M33)*Weights!$B$12+(100-'Assessment Template'!N33)*Weights!$B$13</f>
        <v/>
      </c>
      <c r="Q33" s="68">
        <f>O33*Weights!$B$16+(P33*Weights!$B$17)</f>
        <v/>
      </c>
    </row>
    <row r="34">
      <c r="A34" s="3" t="inlineStr">
        <is>
          <t>Customer Care</t>
        </is>
      </c>
      <c r="B34" s="3" t="inlineStr">
        <is>
          <t>Customer Service Chatbot</t>
        </is>
      </c>
      <c r="C34" s="3" t="inlineStr">
        <is>
          <t>Reduce Cost</t>
        </is>
      </c>
      <c r="D34" s="6" t="inlineStr">
        <is>
          <t>Customer Care</t>
        </is>
      </c>
      <c r="E34" s="51" t="n"/>
      <c r="F34" s="3" t="n"/>
      <c r="G34" s="3" t="n"/>
      <c r="H34" s="52" t="n"/>
      <c r="I34" s="8" t="n"/>
      <c r="J34" s="8" t="n"/>
      <c r="K34" s="3" t="n"/>
      <c r="L34" s="3" t="n"/>
      <c r="M34" s="3" t="n"/>
      <c r="N34" s="63" t="n"/>
      <c r="O34" s="42">
        <f>E34*Weights!$B$2+'Assessment Template'!F34*Weights!$B$3+'Assessment Template'!G34*Weights!$B$4+'Assessment Template'!H34*Weights!$B$5</f>
        <v/>
      </c>
      <c r="P34" s="43">
        <f>I34*Weights!$B$8+J34*Weights!$B$9+(100-'Assessment Template'!K34)*Weights!$B$10+(100-'Assessment Template'!L34)*Weights!$B$11+(100-'Assessment Template'!M34)*Weights!$B$12+(100-'Assessment Template'!N34)*Weights!$B$13</f>
        <v/>
      </c>
      <c r="Q34" s="68">
        <f>O34*Weights!$B$16+(P34*Weights!$B$17)</f>
        <v/>
      </c>
    </row>
    <row r="35">
      <c r="A35" s="3" t="inlineStr">
        <is>
          <t>Customer Care</t>
        </is>
      </c>
      <c r="B35" s="3" t="inlineStr">
        <is>
          <t>Agent Assist Copilot</t>
        </is>
      </c>
      <c r="C35" s="3" t="inlineStr">
        <is>
          <t>Improve Customer Experience</t>
        </is>
      </c>
      <c r="D35" s="6" t="inlineStr">
        <is>
          <t>Customer Care</t>
        </is>
      </c>
      <c r="E35" s="51" t="n"/>
      <c r="F35" s="3" t="n"/>
      <c r="G35" s="3" t="n"/>
      <c r="H35" s="52" t="n"/>
      <c r="I35" s="8" t="n"/>
      <c r="J35" s="8" t="n"/>
      <c r="K35" s="3" t="n"/>
      <c r="L35" s="3" t="n"/>
      <c r="M35" s="3" t="n"/>
      <c r="N35" s="63" t="n"/>
      <c r="O35" s="42">
        <f>E35*Weights!$B$2+'Assessment Template'!F35*Weights!$B$3+'Assessment Template'!G35*Weights!$B$4+'Assessment Template'!H35*Weights!$B$5</f>
        <v/>
      </c>
      <c r="P35" s="43">
        <f>I35*Weights!$B$8+J35*Weights!$B$9+(100-'Assessment Template'!K35)*Weights!$B$10+(100-'Assessment Template'!L35)*Weights!$B$11+(100-'Assessment Template'!M35)*Weights!$B$12+(100-'Assessment Template'!N35)*Weights!$B$13</f>
        <v/>
      </c>
      <c r="Q35" s="68">
        <f>O35*Weights!$B$16+(P35*Weights!$B$17)</f>
        <v/>
      </c>
    </row>
    <row r="36">
      <c r="A36" s="3" t="inlineStr">
        <is>
          <t>Customer Care</t>
        </is>
      </c>
      <c r="B36" s="3" t="inlineStr">
        <is>
          <t>Case Summarization</t>
        </is>
      </c>
      <c r="C36" s="3" t="inlineStr">
        <is>
          <t>Improve Operational Efficiency</t>
        </is>
      </c>
      <c r="D36" s="6" t="inlineStr">
        <is>
          <t>Customer Care</t>
        </is>
      </c>
      <c r="E36" s="51" t="n"/>
      <c r="F36" s="3" t="n"/>
      <c r="G36" s="3" t="n"/>
      <c r="H36" s="52" t="n"/>
      <c r="I36" s="8" t="n"/>
      <c r="J36" s="8" t="n"/>
      <c r="K36" s="3" t="n"/>
      <c r="L36" s="3" t="n"/>
      <c r="M36" s="3" t="n"/>
      <c r="N36" s="63" t="n"/>
      <c r="O36" s="42">
        <f>E36*Weights!$B$2+'Assessment Template'!F36*Weights!$B$3+'Assessment Template'!G36*Weights!$B$4+'Assessment Template'!H36*Weights!$B$5</f>
        <v/>
      </c>
      <c r="P36" s="43">
        <f>I36*Weights!$B$8+J36*Weights!$B$9+(100-'Assessment Template'!K36)*Weights!$B$10+(100-'Assessment Template'!L36)*Weights!$B$11+(100-'Assessment Template'!M36)*Weights!$B$12+(100-'Assessment Template'!N36)*Weights!$B$13</f>
        <v/>
      </c>
      <c r="Q36" s="68">
        <f>O36*Weights!$B$16+(P36*Weights!$B$17)</f>
        <v/>
      </c>
    </row>
    <row r="37">
      <c r="A37" s="3" t="inlineStr">
        <is>
          <t>Customer Care</t>
        </is>
      </c>
      <c r="B37" s="3" t="inlineStr">
        <is>
          <t>Proactive Customer Issue Resolution</t>
        </is>
      </c>
      <c r="C37" s="3" t="inlineStr">
        <is>
          <t>Increase Loyalty</t>
        </is>
      </c>
      <c r="D37" s="6" t="inlineStr">
        <is>
          <t>Customer Care</t>
        </is>
      </c>
      <c r="E37" s="51" t="n"/>
      <c r="F37" s="3" t="n"/>
      <c r="G37" s="3" t="n"/>
      <c r="H37" s="52" t="n"/>
      <c r="I37" s="8" t="n"/>
      <c r="J37" s="8" t="n"/>
      <c r="K37" s="3" t="n"/>
      <c r="L37" s="3" t="n"/>
      <c r="M37" s="3" t="n"/>
      <c r="N37" s="63" t="n"/>
      <c r="O37" s="42">
        <f>E37*Weights!$B$2+'Assessment Template'!F37*Weights!$B$3+'Assessment Template'!G37*Weights!$B$4+'Assessment Template'!H37*Weights!$B$5</f>
        <v/>
      </c>
      <c r="P37" s="43">
        <f>I37*Weights!$B$8+J37*Weights!$B$9+(100-'Assessment Template'!K37)*Weights!$B$10+(100-'Assessment Template'!L37)*Weights!$B$11+(100-'Assessment Template'!M37)*Weights!$B$12+(100-'Assessment Template'!N37)*Weights!$B$13</f>
        <v/>
      </c>
      <c r="Q37" s="68">
        <f>O37*Weights!$B$16+(P37*Weights!$B$17)</f>
        <v/>
      </c>
    </row>
    <row r="38">
      <c r="A38" s="3" t="inlineStr">
        <is>
          <t>Customer Care</t>
        </is>
      </c>
      <c r="B38" s="3" t="inlineStr">
        <is>
          <t>Contact Center Demand Forecasting</t>
        </is>
      </c>
      <c r="C38" s="3" t="inlineStr">
        <is>
          <t>Reduce Cost</t>
        </is>
      </c>
      <c r="D38" s="6" t="inlineStr">
        <is>
          <t>Customer Care</t>
        </is>
      </c>
      <c r="E38" s="51" t="n"/>
      <c r="F38" s="3" t="n"/>
      <c r="G38" s="3" t="n"/>
      <c r="H38" s="52" t="n"/>
      <c r="I38" s="8" t="n"/>
      <c r="J38" s="8" t="n"/>
      <c r="K38" s="3" t="n"/>
      <c r="L38" s="3" t="n"/>
      <c r="M38" s="3" t="n"/>
      <c r="N38" s="63" t="n"/>
      <c r="O38" s="42">
        <f>E38*Weights!$B$2+'Assessment Template'!F38*Weights!$B$3+'Assessment Template'!G38*Weights!$B$4+'Assessment Template'!H38*Weights!$B$5</f>
        <v/>
      </c>
      <c r="P38" s="43">
        <f>I38*Weights!$B$8+J38*Weights!$B$9+(100-'Assessment Template'!K38)*Weights!$B$10+(100-'Assessment Template'!L38)*Weights!$B$11+(100-'Assessment Template'!M38)*Weights!$B$12+(100-'Assessment Template'!N38)*Weights!$B$13</f>
        <v/>
      </c>
      <c r="Q38" s="68">
        <f>O38*Weights!$B$16+(P38*Weights!$B$17)</f>
        <v/>
      </c>
    </row>
    <row r="39">
      <c r="A39" s="3" t="inlineStr">
        <is>
          <t>Customer Care</t>
        </is>
      </c>
      <c r="B39" s="3" t="inlineStr">
        <is>
          <t>Voice-of-Customer Insights Engine</t>
        </is>
      </c>
      <c r="C39" s="3" t="inlineStr">
        <is>
          <t>Improve Customer Experience</t>
        </is>
      </c>
      <c r="D39" s="6" t="inlineStr">
        <is>
          <t>Customer Care</t>
        </is>
      </c>
      <c r="E39" s="51" t="n"/>
      <c r="F39" s="3" t="n"/>
      <c r="G39" s="3" t="n"/>
      <c r="H39" s="52" t="n"/>
      <c r="I39" s="8" t="n"/>
      <c r="J39" s="8" t="n"/>
      <c r="K39" s="3" t="n"/>
      <c r="L39" s="3" t="n"/>
      <c r="M39" s="3" t="n"/>
      <c r="N39" s="63" t="n"/>
      <c r="O39" s="42">
        <f>E39*Weights!$B$2+'Assessment Template'!F39*Weights!$B$3+'Assessment Template'!G39*Weights!$B$4+'Assessment Template'!H39*Weights!$B$5</f>
        <v/>
      </c>
      <c r="P39" s="43">
        <f>I39*Weights!$B$8+J39*Weights!$B$9+(100-'Assessment Template'!K39)*Weights!$B$10+(100-'Assessment Template'!L39)*Weights!$B$11+(100-'Assessment Template'!M39)*Weights!$B$12+(100-'Assessment Template'!N39)*Weights!$B$13</f>
        <v/>
      </c>
      <c r="Q39" s="68">
        <f>O39*Weights!$B$16+(P39*Weights!$B$17)</f>
        <v/>
      </c>
    </row>
    <row r="40">
      <c r="A40" s="23" t="n"/>
      <c r="B40" s="23" t="inlineStr">
        <is>
          <t>Password Resets</t>
        </is>
      </c>
      <c r="C40" s="23" t="n"/>
      <c r="D40" s="24" t="n"/>
      <c r="E40" s="53" t="n"/>
      <c r="F40" s="23" t="n"/>
      <c r="G40" s="23" t="n"/>
      <c r="H40" s="54" t="n"/>
      <c r="I40" s="25" t="n"/>
      <c r="J40" s="25" t="n"/>
      <c r="K40" s="23" t="n"/>
      <c r="L40" s="23" t="n"/>
      <c r="M40" s="23" t="n"/>
      <c r="N40" s="64" t="n"/>
      <c r="O40" s="42">
        <f>E40*Weights!$B$2+'Assessment Template'!F40*Weights!$B$3+'Assessment Template'!G40*Weights!$B$4+'Assessment Template'!H40*Weights!$B$5</f>
        <v/>
      </c>
      <c r="P40" s="43">
        <f>I40*Weights!$B$8+J40*Weights!$B$9+(100-'Assessment Template'!K40)*Weights!$B$10+(100-'Assessment Template'!L40)*Weights!$B$11+(100-'Assessment Template'!M40)*Weights!$B$12+(100-'Assessment Template'!N40)*Weights!$B$13</f>
        <v/>
      </c>
      <c r="Q40" s="68">
        <f>O40*Weights!$B$16+(P40*Weights!$B$17)</f>
        <v/>
      </c>
    </row>
    <row r="41">
      <c r="A41" s="22" t="n"/>
      <c r="B41" s="22" t="inlineStr">
        <is>
          <t xml:space="preserve">AI Tools </t>
        </is>
      </c>
      <c r="C41" s="22" t="n"/>
      <c r="D41" s="59" t="n"/>
      <c r="E41" s="55" t="n"/>
      <c r="F41" s="22" t="n"/>
      <c r="G41" s="22" t="n"/>
      <c r="H41" s="56" t="n"/>
      <c r="I41" s="40" t="n"/>
      <c r="J41" s="22" t="n"/>
      <c r="K41" s="22" t="n"/>
      <c r="L41" s="22" t="n"/>
      <c r="M41" s="22" t="n"/>
      <c r="N41" s="56" t="n"/>
      <c r="O41" s="42">
        <f>E41*Weights!$B$2+'Assessment Template'!F41*Weights!$B$3+'Assessment Template'!G41*Weights!$B$4+'Assessment Template'!H41*Weights!$B$5</f>
        <v/>
      </c>
      <c r="P41" s="43">
        <f>I41*Weights!$B$8+J41*Weights!$B$9+(100-'Assessment Template'!K41)*Weights!$B$10+(100-'Assessment Template'!L41)*Weights!$B$11+(100-'Assessment Template'!M41)*Weights!$B$12+(100-'Assessment Template'!N41)*Weights!$B$13</f>
        <v/>
      </c>
      <c r="Q41" s="68">
        <f>O41*Weights!$B$16+(P41*Weights!$B$17)</f>
        <v/>
      </c>
    </row>
    <row r="42">
      <c r="A42" s="22" t="n"/>
      <c r="B42" s="22" t="inlineStr">
        <is>
          <t>IMAI POC</t>
        </is>
      </c>
      <c r="C42" s="22" t="n"/>
      <c r="D42" s="59" t="n"/>
      <c r="E42" s="55" t="n"/>
      <c r="F42" s="22" t="n"/>
      <c r="G42" s="22" t="n"/>
      <c r="H42" s="56" t="n"/>
      <c r="I42" s="40" t="n"/>
      <c r="J42" s="22" t="n"/>
      <c r="K42" s="22" t="n"/>
      <c r="L42" s="22" t="n"/>
      <c r="M42" s="22" t="n"/>
      <c r="N42" s="56" t="n"/>
      <c r="O42" s="42">
        <f>E42*Weights!$B$2+'Assessment Template'!F42*Weights!$B$3+'Assessment Template'!G42*Weights!$B$4+'Assessment Template'!H42*Weights!$B$5</f>
        <v/>
      </c>
      <c r="P42" s="43">
        <f>I42*Weights!$B$8+J42*Weights!$B$9+(100-'Assessment Template'!K42)*Weights!$B$10+(100-'Assessment Template'!L42)*Weights!$B$11+(100-'Assessment Template'!M42)*Weights!$B$12+(100-'Assessment Template'!N42)*Weights!$B$13</f>
        <v/>
      </c>
      <c r="Q42" s="68">
        <f>O42*Weights!$B$16+(P42*Weights!$B$17)</f>
        <v/>
      </c>
    </row>
    <row r="43">
      <c r="A43" s="41" t="n"/>
      <c r="B43" s="41" t="inlineStr">
        <is>
          <t>Infocepts</t>
        </is>
      </c>
      <c r="C43" s="41" t="n"/>
      <c r="D43" s="60" t="n"/>
      <c r="E43" s="55" t="n"/>
      <c r="F43" s="22" t="n"/>
      <c r="G43" s="22" t="n"/>
      <c r="H43" s="56" t="n"/>
      <c r="I43" s="40" t="n"/>
      <c r="J43" s="22" t="n"/>
      <c r="K43" s="22" t="n"/>
      <c r="L43" s="22" t="n"/>
      <c r="M43" s="22" t="n"/>
      <c r="N43" s="56" t="n"/>
      <c r="O43" s="42">
        <f>E43*Weights!$B$2+'Assessment Template'!F43*Weights!$B$3+'Assessment Template'!G43*Weights!$B$4+'Assessment Template'!H43*Weights!$B$5</f>
        <v/>
      </c>
      <c r="P43" s="43">
        <f>I43*Weights!$B$8+J43*Weights!$B$9+(100-'Assessment Template'!K43)*Weights!$B$10+(100-'Assessment Template'!L43)*Weights!$B$11+(100-'Assessment Template'!M43)*Weights!$B$12+(100-'Assessment Template'!N43)*Weights!$B$13</f>
        <v/>
      </c>
      <c r="Q43" s="68">
        <f>O43*Weights!$B$16+(P43*Weights!$B$17)</f>
        <v/>
      </c>
    </row>
    <row r="44">
      <c r="A44" s="22" t="n"/>
      <c r="B44" s="22" t="inlineStr">
        <is>
          <t>New Arc</t>
        </is>
      </c>
      <c r="C44" s="22" t="n"/>
      <c r="D44" s="22" t="n"/>
      <c r="E44" s="55" t="n"/>
      <c r="F44" s="22" t="n"/>
      <c r="G44" s="22" t="n"/>
      <c r="H44" s="56" t="n"/>
      <c r="I44" s="40" t="n"/>
      <c r="J44" s="22" t="n"/>
      <c r="K44" s="22" t="n"/>
      <c r="L44" s="22" t="n"/>
      <c r="M44" s="22" t="n"/>
      <c r="N44" s="56" t="n"/>
      <c r="O44" s="42">
        <f>E44*Weights!$B$2+'Assessment Template'!F44*Weights!$B$3+'Assessment Template'!G44*Weights!$B$4+'Assessment Template'!H44*Weights!$B$5</f>
        <v/>
      </c>
      <c r="P44" s="43">
        <f>I44*Weights!$B$8+J44*Weights!$B$9+(100-'Assessment Template'!K44)*Weights!$B$10+(100-'Assessment Template'!L44)*Weights!$B$11+(100-'Assessment Template'!M44)*Weights!$B$12+(100-'Assessment Template'!N44)*Weights!$B$13</f>
        <v/>
      </c>
      <c r="Q44" s="68">
        <f>O44*Weights!$B$16+(P44*Weights!$B$17)</f>
        <v/>
      </c>
    </row>
    <row r="48" ht="15" customHeight="1" s="44"/>
    <row r="49" ht="15" customHeight="1" s="44"/>
    <row r="50" ht="15" customHeight="1" s="44"/>
    <row r="51" ht="15" customHeight="1" s="44"/>
  </sheetData>
  <mergeCells count="2">
    <mergeCell ref="I1:N1"/>
    <mergeCell ref="E1:H1"/>
  </mergeCells>
  <dataValidations count="1">
    <dataValidation sqref="E45:N199" showDropDown="0" showInputMessage="0" showErrorMessage="0" allowBlank="0" type="list">
      <formula1>"0,5,15,30,50,75,100"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1" topLeftCell="B2" activePane="bottomRight" state="frozen"/>
      <selection pane="bottomRight" activeCell="D5" sqref="D5"/>
      <selection pane="bottomLeft" activeCell="A1" sqref="A1"/>
      <selection pane="topRight" activeCell="A1" sqref="A1"/>
    </sheetView>
  </sheetViews>
  <sheetFormatPr baseColWidth="8" defaultRowHeight="15"/>
  <cols>
    <col width="31.140625" bestFit="1" customWidth="1" style="31" min="1" max="1"/>
    <col width="30.140625" customWidth="1" style="31" min="2" max="2"/>
    <col width="23.42578125" customWidth="1" style="31" min="3" max="4"/>
    <col width="27.140625" customWidth="1" style="31" min="5" max="5"/>
    <col width="23.42578125" customWidth="1" style="31" min="6" max="6"/>
    <col width="27.140625" customWidth="1" style="31" min="7" max="7"/>
    <col width="9.140625" customWidth="1" style="31" min="8" max="16384"/>
  </cols>
  <sheetData>
    <row r="1">
      <c r="A1" s="33" t="inlineStr">
        <is>
          <t>Factor</t>
        </is>
      </c>
      <c r="B1" s="30" t="inlineStr">
        <is>
          <t>Question</t>
        </is>
      </c>
      <c r="C1" s="27" t="n">
        <v>0</v>
      </c>
      <c r="D1" s="27" t="n">
        <v>5</v>
      </c>
      <c r="E1" s="27" t="n">
        <v>20</v>
      </c>
      <c r="F1" s="27" t="n">
        <v>50</v>
      </c>
      <c r="G1" s="27" t="inlineStr">
        <is>
          <t>100</t>
        </is>
      </c>
    </row>
    <row r="2" ht="45.75" customHeight="1" s="44">
      <c r="A2" s="34" t="inlineStr">
        <is>
          <t>Financial Impact 
(revenue/margin growth, loss prevention)</t>
        </is>
      </c>
      <c r="B2" s="32" t="inlineStr">
        <is>
          <t>How much annual financial impact (revenue, margin, or loss prevention) does this deliver?</t>
        </is>
      </c>
      <c r="C2" s="28" t="inlineStr">
        <is>
          <t>Not measurable</t>
        </is>
      </c>
      <c r="D2" s="28" t="inlineStr">
        <is>
          <t>&lt;$100K annually</t>
        </is>
      </c>
      <c r="E2" s="28" t="inlineStr">
        <is>
          <t>$100–500K annually</t>
        </is>
      </c>
      <c r="F2" s="28" t="inlineStr">
        <is>
          <t>$500K–$2M annually</t>
        </is>
      </c>
      <c r="G2" s="28" t="inlineStr">
        <is>
          <t>&gt; $2M annually</t>
        </is>
      </c>
    </row>
    <row r="3" ht="30.75" customHeight="1" s="44">
      <c r="A3" s="35" t="inlineStr">
        <is>
          <t>Process Efficiency 
(Reduce process time, reduce error rate)</t>
        </is>
      </c>
      <c r="B3" s="32" t="inlineStr">
        <is>
          <t>By how much does this reduce process time or error rate?</t>
        </is>
      </c>
      <c r="C3" s="28" t="inlineStr">
        <is>
          <t>No change in process time or errors</t>
        </is>
      </c>
      <c r="D3" s="28" t="inlineStr">
        <is>
          <t>&lt;5% process time or errors reduced</t>
        </is>
      </c>
      <c r="E3" s="28" t="inlineStr">
        <is>
          <t>5–15% process time or error reduced</t>
        </is>
      </c>
      <c r="F3" s="28" t="inlineStr">
        <is>
          <t>15–50% process time or errors reduced</t>
        </is>
      </c>
      <c r="G3" s="28" t="inlineStr">
        <is>
          <t>&gt;50% cut, or process eliminated / straight-through</t>
        </is>
      </c>
    </row>
    <row r="4" ht="45.75" customHeight="1" s="44">
      <c r="A4" s="35" t="inlineStr">
        <is>
          <t>Customer Experience 
(CLV or NPS growth)</t>
        </is>
      </c>
      <c r="B4" s="32" t="inlineStr">
        <is>
          <t>How much will this move NPS or CLV, and is it in a core customer journey?</t>
        </is>
      </c>
      <c r="C4" s="28" t="inlineStr">
        <is>
          <t>No customer-facing change</t>
        </is>
      </c>
      <c r="D4" s="28" t="inlineStr">
        <is>
          <t>No NPS or CLV movement
(Improves a non-core journey)</t>
        </is>
      </c>
      <c r="E4" s="28" t="inlineStr">
        <is>
          <t>&lt;1 NPS or &lt;1% CLV movement
(Improves a non-core journey)</t>
        </is>
      </c>
      <c r="F4" s="29" t="inlineStr">
        <is>
          <t>+1–5 NPS or +1–2% CLV (Improve in core journey)</t>
        </is>
      </c>
      <c r="G4" s="28" t="inlineStr">
        <is>
          <t>+5–10 NPS or +2–5% CLV (Potential to radically improve CX Experience)</t>
        </is>
      </c>
    </row>
    <row r="5" ht="45.75" customHeight="1" s="44">
      <c r="A5" s="35" t="inlineStr">
        <is>
          <t>Strategic Priority</t>
        </is>
      </c>
      <c r="B5" s="32" t="inlineStr">
        <is>
          <t>How directly does this connect to a named FY strategic priority?</t>
        </is>
      </c>
      <c r="C5" s="28" t="inlineStr">
        <is>
          <t>Serves no FY strategic priority</t>
        </is>
      </c>
      <c r="D5" s="28" t="inlineStr">
        <is>
          <t>Indirectly supports a future FY strategic priority</t>
        </is>
      </c>
      <c r="E5" s="28" t="inlineStr">
        <is>
          <t>Indirectly supports a FY strategic priority</t>
        </is>
      </c>
      <c r="F5" s="28" t="inlineStr">
        <is>
          <t>Directly serves a FY strategic priority</t>
        </is>
      </c>
      <c r="G5" s="28" t="inlineStr">
        <is>
          <t>Required as part of the FY enterprise strategy</t>
        </is>
      </c>
    </row>
    <row r="6" ht="60.75" customHeight="1" s="44">
      <c r="A6" s="36" t="inlineStr">
        <is>
          <t>Data Readiness</t>
        </is>
      </c>
      <c r="B6" s="32" t="inlineStr">
        <is>
          <t>How available and structured is the data required for this initiative?</t>
        </is>
      </c>
      <c r="C6" s="28" t="inlineStr">
        <is>
          <t>Data doesn't exist and needs to be captured</t>
        </is>
      </c>
      <c r="D6" s="28" t="inlineStr">
        <is>
          <t>Partial data, poorly structured</t>
        </is>
      </c>
      <c r="E6" s="28" t="inlineStr">
        <is>
          <t>Partial and reasonably structured data with material gaps</t>
        </is>
      </c>
      <c r="F6" s="28" t="inlineStr">
        <is>
          <t>Complete data available and structured</t>
        </is>
      </c>
      <c r="G6" s="28" t="inlineStr">
        <is>
          <t>Complete data available which is structured, production-grade, real-time, and governed</t>
        </is>
      </c>
    </row>
    <row r="7" ht="76.5" customHeight="1" s="44">
      <c r="A7" s="36" t="inlineStr">
        <is>
          <t>Process Readiness</t>
        </is>
      </c>
      <c r="B7" s="32" t="inlineStr">
        <is>
          <t>How defined is the process currently?</t>
        </is>
      </c>
      <c r="C7" s="28" t="inlineStr">
        <is>
          <t>No defined process, adhoc work with no owner</t>
        </is>
      </c>
      <c r="D7" s="28" t="inlineStr">
        <is>
          <t>Informal and person-dependent. No documentation or named owner</t>
        </is>
      </c>
      <c r="E7" s="28" t="inlineStr">
        <is>
          <t>Partially defined. An owner is identifiable and informal documentation.</t>
        </is>
      </c>
      <c r="F7" s="28" t="inlineStr">
        <is>
          <t>Documented and followed consistently across the function with named owner and measured periodically</t>
        </is>
      </c>
      <c r="G7" s="28" t="inlineStr">
        <is>
          <t>Standardised and instrumented. Measured continuously. Named owner carries this outcome in their objectives</t>
        </is>
      </c>
    </row>
    <row r="8" ht="60.75" customHeight="1" s="44">
      <c r="A8" s="35" t="inlineStr">
        <is>
          <t>Implementation Complexity
(Systems / Teams involved)</t>
        </is>
      </c>
      <c r="B8" s="32" t="inlineStr">
        <is>
          <t>How many systems and teams does this need to integrate or coordinate across?</t>
        </is>
      </c>
      <c r="C8" s="28" t="inlineStr">
        <is>
          <t>No system integrations, only configurations in existing system</t>
        </is>
      </c>
      <c r="D8" s="28" t="inlineStr">
        <is>
          <t>Single integration with no dependencies on other teams</t>
        </is>
      </c>
      <c r="E8" s="28" t="inlineStr">
        <is>
          <t>Single Integration with multiple dependencies on other teams</t>
        </is>
      </c>
      <c r="F8" s="28" t="inlineStr">
        <is>
          <t>Multiple Integrations with multiple dependencies on other teams</t>
        </is>
      </c>
      <c r="G8" s="28" t="inlineStr">
        <is>
          <t>Multi system, multi team, multi year transformational implementation</t>
        </is>
      </c>
    </row>
    <row r="9" ht="76.5" customHeight="1" s="44">
      <c r="A9" s="35" t="inlineStr">
        <is>
          <t>Risk Profile</t>
        </is>
      </c>
      <c r="B9" s="32" t="inlineStr">
        <is>
          <t>How much human oversight is there, is it reversible, and who is affected if it goes wrong: internal, customers, or legally/financially?</t>
        </is>
      </c>
      <c r="C9" s="28" t="inlineStr">
        <is>
          <t>Back office with no customer or employee decisioning. Fully reversible</t>
        </is>
      </c>
      <c r="D9" s="28" t="inlineStr">
        <is>
          <t>Internal decision support with human in the loop. No special review required.</t>
        </is>
      </c>
      <c r="E9" s="28" t="inlineStr">
        <is>
          <t>Internal but affects employee outcomes. Needs standard reviews mechanism.</t>
        </is>
      </c>
      <c r="F9" s="29" t="inlineStr">
        <is>
          <t>Automated business output reaches customers after legal, brand or internal sign off</t>
        </is>
      </c>
      <c r="G9" s="28" t="inlineStr">
        <is>
          <t>Irreversible system actions with potential to disrupt customer experience or company operations or Legal issues</t>
        </is>
      </c>
    </row>
    <row r="10" ht="30.75" customHeight="1" s="44">
      <c r="A10" s="35" t="inlineStr">
        <is>
          <t>CapEx Cost</t>
        </is>
      </c>
      <c r="B10" s="32" t="inlineStr">
        <is>
          <t>What incremental CapEx does this require?</t>
        </is>
      </c>
      <c r="C10" s="28" t="inlineStr">
        <is>
          <t>None, Absorbed in existing licenses</t>
        </is>
      </c>
      <c r="D10" s="28" t="inlineStr">
        <is>
          <t>&lt;$100k</t>
        </is>
      </c>
      <c r="E10" s="28" t="inlineStr">
        <is>
          <t>$100–300K</t>
        </is>
      </c>
      <c r="F10" s="28" t="inlineStr">
        <is>
          <t>$300K–$500K</t>
        </is>
      </c>
      <c r="G10" s="28" t="inlineStr">
        <is>
          <t>&gt; $500K</t>
        </is>
      </c>
    </row>
    <row r="11" ht="30.75" customHeight="1" s="44"/>
  </sheetData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B17" sqref="B17"/>
    </sheetView>
  </sheetViews>
  <sheetFormatPr baseColWidth="8" defaultColWidth="8.7109375" defaultRowHeight="14.45"/>
  <cols>
    <col width="55.7109375" bestFit="1" customWidth="1" style="15" min="1" max="1"/>
    <col width="6.7109375" bestFit="1" customWidth="1" style="15" min="2" max="2"/>
    <col width="8.7109375" customWidth="1" style="15" min="3" max="16384"/>
  </cols>
  <sheetData>
    <row r="1" ht="15" customHeight="1" s="44">
      <c r="A1" s="16" t="inlineStr">
        <is>
          <t>Impact Score</t>
        </is>
      </c>
      <c r="B1" s="17" t="n"/>
    </row>
    <row r="2" ht="15" customHeight="1" s="44">
      <c r="A2" s="18" t="inlineStr">
        <is>
          <t>Financial Impact 
(revenue/margin growth, loss prevention)</t>
        </is>
      </c>
      <c r="B2" s="19" t="n">
        <v>0.5</v>
      </c>
    </row>
    <row r="3" ht="15" customHeight="1" s="44">
      <c r="A3" s="18" t="inlineStr">
        <is>
          <t>Process Efficiency (Reduce process time, reduce error rate)</t>
        </is>
      </c>
      <c r="B3" s="19" t="n">
        <v>0.1</v>
      </c>
    </row>
    <row r="4" ht="15" customHeight="1" s="44">
      <c r="A4" s="18" t="inlineStr">
        <is>
          <t>Customer Experience 
(CLV or NPS growth)</t>
        </is>
      </c>
      <c r="B4" s="19" t="n">
        <v>0.2</v>
      </c>
    </row>
    <row r="5" ht="15" customHeight="1" s="44">
      <c r="A5" s="18" t="inlineStr">
        <is>
          <t>Strategic Priority</t>
        </is>
      </c>
      <c r="B5" s="19" t="n">
        <v>0.2</v>
      </c>
    </row>
    <row r="6" ht="15" customHeight="1" s="44">
      <c r="A6" s="17" t="n"/>
      <c r="B6" s="17" t="n"/>
    </row>
    <row r="7" ht="15" customHeight="1" s="44">
      <c r="A7" s="16" t="inlineStr">
        <is>
          <t>Feasibility Score</t>
        </is>
      </c>
      <c r="B7" s="17" t="n"/>
    </row>
    <row r="8" ht="15" customHeight="1" s="44">
      <c r="A8" s="18" t="inlineStr">
        <is>
          <t>Data Readiness</t>
        </is>
      </c>
      <c r="B8" s="19" t="n">
        <v>0.4</v>
      </c>
    </row>
    <row r="9" ht="15" customHeight="1" s="44">
      <c r="A9" s="20" t="inlineStr">
        <is>
          <t>Process Readiness</t>
        </is>
      </c>
      <c r="B9" s="19" t="n">
        <v>0.1</v>
      </c>
    </row>
    <row r="10" ht="30.75" customHeight="1" s="44">
      <c r="A10" s="20" t="inlineStr">
        <is>
          <t>Implementation Complexity
(Systems / Teams involved)</t>
        </is>
      </c>
      <c r="B10" s="19" t="n">
        <v>0.1</v>
      </c>
    </row>
    <row r="11" ht="15" customHeight="1" s="44">
      <c r="A11" s="20" t="inlineStr">
        <is>
          <t>Risk Profile</t>
        </is>
      </c>
      <c r="B11" s="19" t="n">
        <v>0.2</v>
      </c>
    </row>
    <row r="12">
      <c r="A12" s="18" t="inlineStr">
        <is>
          <t>CapEx Cost</t>
        </is>
      </c>
      <c r="B12" s="19" t="n">
        <v>0.2</v>
      </c>
    </row>
    <row r="13" ht="15" customHeight="1" s="44">
      <c r="A13" s="17" t="n"/>
      <c r="B13" s="17" t="n"/>
    </row>
    <row r="14">
      <c r="A14" s="16" t="inlineStr">
        <is>
          <t>AI Opportunity Score</t>
        </is>
      </c>
      <c r="B14" s="17" t="n"/>
    </row>
    <row r="15">
      <c r="A15" s="17" t="inlineStr">
        <is>
          <t>Impact Score</t>
        </is>
      </c>
      <c r="B15" s="19" t="n">
        <v>0.6</v>
      </c>
    </row>
    <row r="16">
      <c r="A16" s="17" t="inlineStr">
        <is>
          <t>Feasibility Score</t>
        </is>
      </c>
      <c r="B16" s="19" t="n">
        <v>0.4</v>
      </c>
    </row>
    <row r="18" ht="15" customHeight="1" s="44"/>
    <row r="20" ht="15" customHeight="1" s="44"/>
    <row r="21" ht="15" customHeight="1" s="44"/>
    <row r="22" ht="15" customHeight="1" s="44"/>
    <row r="23" ht="15" customHeight="1" s="4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Gaurav Babel</dc:creator>
  <dcterms:created xsi:type="dcterms:W3CDTF">2026-09-10T20:13:16Z</dcterms:created>
  <dcterms:modified xsi:type="dcterms:W3CDTF">2026-09-21T23:02:59Z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0x010100C15C0EF691A37A48B9C6AA119C510583</vt:lpwstr>
  </property>
</Properties>
</file>